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ing Summary" sheetId="1" state="visible" r:id="rId3"/>
    <sheet name="Invoice Register" sheetId="2" state="visible" r:id="rId4"/>
  </sheets>
  <definedNames>
    <definedName function="false" hidden="false" localSheetId="0" name="_xlnm.Print_Area" vbProcedure="false">'Aging Summary'!$A$1:$G$22</definedName>
    <definedName function="false" hidden="false" localSheetId="1" name="_xlnm.Print_Area" vbProcedure="false">'Invoice Register'!$A$1:$N$40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<sst xmlns="http://schemas.openxmlformats.org/spreadsheetml/2006/main" count="62" uniqueCount="54">
  <si>
    <t xml:space="preserve">AP Aging Summary &amp; Payment Priorities</t>
  </si>
  <si>
    <t xml:space="preserve">TEMPLATE  |  Created by Tahsin Devrim Mahmud  |  Ready for your own data</t>
  </si>
  <si>
    <t xml:space="preserve">Aging as of (leave blank for today)</t>
  </si>
  <si>
    <t xml:space="preserve">HOW TO USE THE AGING SUMMARY</t>
  </si>
  <si>
    <t xml:space="preserve">  Fill in the Invoice Register tab; this page updates by itself.</t>
  </si>
  <si>
    <t xml:space="preserve">  Leave the yellow date blank to age invoices as of today, or</t>
  </si>
  <si>
    <t xml:space="preserve">Aging Bucket</t>
  </si>
  <si>
    <t xml:space="preserve">Balance Owing</t>
  </si>
  <si>
    <t xml:space="preserve"># Invoices</t>
  </si>
  <si>
    <t xml:space="preserve">% of Total</t>
  </si>
  <si>
    <t xml:space="preserve">  enter a month-end date to produce a period-end aging report.</t>
  </si>
  <si>
    <t xml:space="preserve">Current</t>
  </si>
  <si>
    <t xml:space="preserve">READING THE REPORT:</t>
  </si>
  <si>
    <t xml:space="preserve">Up to one month past due</t>
  </si>
  <si>
    <t xml:space="preserve">  Balances are grouped by how far past the due date they are.</t>
  </si>
  <si>
    <t xml:space="preserve">One to two months past due</t>
  </si>
  <si>
    <t xml:space="preserve">  The % column shows where the payable balance is concentrated.</t>
  </si>
  <si>
    <t xml:space="preserve">Two to three months past due</t>
  </si>
  <si>
    <t xml:space="preserve">CONTROL CHECKS:</t>
  </si>
  <si>
    <t xml:space="preserve">Over three months past due</t>
  </si>
  <si>
    <t xml:space="preserve">  Older balances need a vendor call or escalation.</t>
  </si>
  <si>
    <t xml:space="preserve">Total outstanding</t>
  </si>
  <si>
    <t xml:space="preserve">  Failed matches should not be paid until resolved.</t>
  </si>
  <si>
    <t xml:space="preserve">  Duplicate invoice numbers may mean a double payment risk.</t>
  </si>
  <si>
    <t xml:space="preserve">CONTROL CHECKS</t>
  </si>
  <si>
    <t xml:space="preserve">  'Ties to register' confirms the summary is complete.</t>
  </si>
  <si>
    <t xml:space="preserve">Balance more than two months past due</t>
  </si>
  <si>
    <t xml:space="preserve">Invoices failing the three-way match</t>
  </si>
  <si>
    <t xml:space="preserve">COLOUR LEGEND</t>
  </si>
  <si>
    <t xml:space="preserve">Possible duplicate invoice numbers</t>
  </si>
  <si>
    <t xml:space="preserve">  Pink column header  =  you type in this column</t>
  </si>
  <si>
    <t xml:space="preserve">Summary ties to register?</t>
  </si>
  <si>
    <t xml:space="preserve">  Navy column header  =  calculates automatically (do not overwrite)</t>
  </si>
  <si>
    <t xml:space="preserve">  Yellow cell  =  a setting you choose</t>
  </si>
  <si>
    <t xml:space="preserve">  Green / amber / red highlights  =  status flags</t>
  </si>
  <si>
    <t xml:space="preserve">Accounts Payable Invoice Register</t>
  </si>
  <si>
    <t xml:space="preserve">Vendor</t>
  </si>
  <si>
    <t xml:space="preserve">Invoice #</t>
  </si>
  <si>
    <t xml:space="preserve">Invoice Date</t>
  </si>
  <si>
    <t xml:space="preserve">Payment Terms (days)</t>
  </si>
  <si>
    <t xml:space="preserve">Due Date</t>
  </si>
  <si>
    <t xml:space="preserve">Invoice Amount</t>
  </si>
  <si>
    <t xml:space="preserve">Amount Paid</t>
  </si>
  <si>
    <t xml:space="preserve">Days Past Due</t>
  </si>
  <si>
    <t xml:space="preserve">Follow-Up Action</t>
  </si>
  <si>
    <t xml:space="preserve">PO / Receipt / Invoice Match?</t>
  </si>
  <si>
    <t xml:space="preserve">HOW TO USE THE REGISTER</t>
  </si>
  <si>
    <t xml:space="preserve">  Enter each vendor invoice on its own row.</t>
  </si>
  <si>
    <t xml:space="preserve">  Payment terms = the number of days the vendor allows.</t>
  </si>
  <si>
    <t xml:space="preserve">  Record payments in Amount Paid (partial payments are fine).</t>
  </si>
  <si>
    <t xml:space="preserve">  Due date, balance, days past due, aging bucket and the</t>
  </si>
  <si>
    <t xml:space="preserve">  follow-up action all calculate automatically.</t>
  </si>
  <si>
    <t xml:space="preserve">  Match? = Yes only when the purchase order, receiving record</t>
  </si>
  <si>
    <t xml:space="preserve">  and invoice agree. Red means hold payment and investigate.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</si>
</sst>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;&quot;($&quot;#,##0.00\);\-"/>
    <numFmt numFmtId="167" formatCode="#,##0;\(#,##0\);\-"/>
    <numFmt numFmtId="168" formatCode="0.0%;\(0.0%\);\-"/>
    <numFmt numFmtId="169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1"/>
      <name val="Arial"/>
      <family val="0"/>
      <charset val="1"/>
    </font>
    <font>
      <i val="true"/>
      <sz val="9"/>
      <color rgb="FFE31B6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821"/>
      <name val="Arial"/>
      <family val="0"/>
      <charset val="1"/>
    </font>
    <font>
      <b val="true"/>
      <sz val="11"/>
      <color rgb="FFE31B6D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59D"/>
        <bgColor rgb="FFFFE0B2"/>
      </patternFill>
    </fill>
    <fill>
      <patternFill patternType="solid">
        <fgColor rgb="FFE31B6D"/>
        <bgColor rgb="FF993366"/>
      </patternFill>
    </fill>
    <fill>
      <patternFill patternType="solid">
        <fgColor rgb="FFFDF0F5"/>
        <bgColor rgb="FFF6F7F9"/>
      </patternFill>
    </fill>
    <fill>
      <patternFill patternType="solid">
        <fgColor rgb="FF111821"/>
        <bgColor rgb="FF000000"/>
      </patternFill>
    </fill>
    <fill>
      <patternFill patternType="solid">
        <fgColor rgb="FFF6F7F9"/>
        <bgColor rgb="FFFDF0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 diagonalUp="false" diagonalDown="false">
      <left/>
      <right/>
      <top/>
      <bottom style="thick">
        <color rgb="FFE31B6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</dxfs>
  <colors>
    <indexedColors>
      <rgbColor rgb="FF000000"/>
      <rgbColor rgb="FFFFFFFF"/>
      <rgbColor rgb="FFE31B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808080"/>
      <rgbColor rgb="FF9999FF"/>
      <rgbColor rgb="FF993366"/>
      <rgbColor rgb="FFF6F7F9"/>
      <rgbColor rgb="FFFDF0F5"/>
      <rgbColor rgb="FF660066"/>
      <rgbColor rgb="FFFF8080"/>
      <rgbColor rgb="FF0066CC"/>
      <rgbColor rgb="FFD5DA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3"/>
    <col collapsed="false" customWidth="true" hidden="false" outlineLevel="0" max="7" min="7" style="0" width="74"/>
    <col collapsed="false" customWidth="true" hidden="true" outlineLevel="0" max="26" min="26" style="0" width="13"/>
  </cols>
  <sheetData>
    <row r="1" customFormat="false" ht="27.75" hidden="false" customHeight="true" outlineLevel="0" collapsed="false">
      <c r="A1" s="1" t="s">
        <v>0</v>
      </c>
      <c r="Z1" s="2" t="n">
        <f aca="true">IF(C4="",TODAY(),C4)</f>
        <v>46294</v>
      </c>
    </row>
    <row r="2" customFormat="false" ht="15" hidden="false" customHeight="false" outlineLevel="0" collapsed="false">
      <c r="A2" s="3" t="s">
        <v>1</v>
      </c>
    </row>
    <row r="4" customFormat="false" ht="24" hidden="false" customHeight="true" outlineLevel="0" collapsed="false">
      <c r="A4" s="4" t="s">
        <v>2</v>
      </c>
      <c r="C4" s="5"/>
      <c r="G4" s="6" t="s">
        <v>3</v>
      </c>
    </row>
    <row r="5" customFormat="false" ht="15" hidden="false" customHeight="false" outlineLevel="0" collapsed="false">
      <c r="G5" s="7" t="s">
        <v>4</v>
      </c>
    </row>
    <row r="6" customFormat="false" ht="15" hidden="false" customHeight="false" outlineLevel="0" collapsed="false">
      <c r="G6" s="7" t="s">
        <v>5</v>
      </c>
    </row>
    <row r="7" customFormat="false" ht="15" hidden="false" customHeight="false" outlineLevel="0" collapsed="false">
      <c r="A7" s="8" t="s">
        <v>6</v>
      </c>
      <c r="C7" s="8" t="s">
        <v>7</v>
      </c>
      <c r="D7" s="8" t="s">
        <v>8</v>
      </c>
      <c r="E7" s="8" t="s">
        <v>9</v>
      </c>
      <c r="G7" s="7" t="s">
        <v>10</v>
      </c>
    </row>
    <row r="8" customFormat="false" ht="15" hidden="false" customHeight="false" outlineLevel="0" collapsed="false">
      <c r="A8" s="9" t="s">
        <v>11</v>
      </c>
      <c r="C8" s="10" t="n">
        <f aca="false">SUMIFS('Invoice Register'!$H$5:$H$154,'Invoice Register'!$J$5:$J$154,A8)</f>
        <v>0</v>
      </c>
      <c r="D8" s="11" t="n">
        <f aca="false">COUNTIF('Invoice Register'!$J$5:$J$154,A8)</f>
        <v>0</v>
      </c>
      <c r="E8" s="12" t="n">
        <f aca="false">IFERROR(C8/$C$13,0)</f>
        <v>0</v>
      </c>
      <c r="G8" s="13" t="s">
        <v>12</v>
      </c>
    </row>
    <row r="9" customFormat="false" ht="15" hidden="false" customHeight="false" outlineLevel="0" collapsed="false">
      <c r="A9" s="9" t="s">
        <v>13</v>
      </c>
      <c r="C9" s="10" t="n">
        <f aca="false">SUMIFS('Invoice Register'!$H$5:$H$154,'Invoice Register'!$J$5:$J$154,A9)</f>
        <v>0</v>
      </c>
      <c r="D9" s="11" t="n">
        <f aca="false">COUNTIF('Invoice Register'!$J$5:$J$154,A9)</f>
        <v>0</v>
      </c>
      <c r="E9" s="12" t="n">
        <f aca="false">IFERROR(C9/$C$13,0)</f>
        <v>0</v>
      </c>
      <c r="G9" s="7" t="s">
        <v>14</v>
      </c>
    </row>
    <row r="10" customFormat="false" ht="15" hidden="false" customHeight="false" outlineLevel="0" collapsed="false">
      <c r="A10" s="9" t="s">
        <v>15</v>
      </c>
      <c r="C10" s="10" t="n">
        <f aca="false">SUMIFS('Invoice Register'!$H$5:$H$154,'Invoice Register'!$J$5:$J$154,A10)</f>
        <v>0</v>
      </c>
      <c r="D10" s="11" t="n">
        <f aca="false">COUNTIF('Invoice Register'!$J$5:$J$154,A10)</f>
        <v>0</v>
      </c>
      <c r="E10" s="12" t="n">
        <f aca="false">IFERROR(C10/$C$13,0)</f>
        <v>0</v>
      </c>
      <c r="G10" s="7" t="s">
        <v>16</v>
      </c>
    </row>
    <row r="11" customFormat="false" ht="15" hidden="false" customHeight="false" outlineLevel="0" collapsed="false">
      <c r="A11" s="9" t="s">
        <v>17</v>
      </c>
      <c r="C11" s="10" t="n">
        <f aca="false">SUMIFS('Invoice Register'!$H$5:$H$154,'Invoice Register'!$J$5:$J$154,A11)</f>
        <v>0</v>
      </c>
      <c r="D11" s="11" t="n">
        <f aca="false">COUNTIF('Invoice Register'!$J$5:$J$154,A11)</f>
        <v>0</v>
      </c>
      <c r="E11" s="12" t="n">
        <f aca="false">IFERROR(C11/$C$13,0)</f>
        <v>0</v>
      </c>
      <c r="G11" s="13" t="s">
        <v>18</v>
      </c>
    </row>
    <row r="12" customFormat="false" ht="15" hidden="false" customHeight="false" outlineLevel="0" collapsed="false">
      <c r="A12" s="9" t="s">
        <v>19</v>
      </c>
      <c r="C12" s="10" t="n">
        <f aca="false">SUMIFS('Invoice Register'!$H$5:$H$154,'Invoice Register'!$J$5:$J$154,A12)</f>
        <v>0</v>
      </c>
      <c r="D12" s="11" t="n">
        <f aca="false">COUNTIF('Invoice Register'!$J$5:$J$154,A12)</f>
        <v>0</v>
      </c>
      <c r="E12" s="12" t="n">
        <f aca="false">IFERROR(C12/$C$13,0)</f>
        <v>0</v>
      </c>
      <c r="G12" s="7" t="s">
        <v>20</v>
      </c>
    </row>
    <row r="13" customFormat="false" ht="15" hidden="false" customHeight="false" outlineLevel="0" collapsed="false">
      <c r="A13" s="4" t="s">
        <v>21</v>
      </c>
      <c r="C13" s="14" t="n">
        <f aca="false">SUM(C8:C12)</f>
        <v>0</v>
      </c>
      <c r="D13" s="15" t="n">
        <f aca="false">SUM(D8:D12)</f>
        <v>0</v>
      </c>
      <c r="E13" s="16" t="n">
        <f aca="false">SUM(E8:E12)</f>
        <v>0</v>
      </c>
      <c r="G13" s="7" t="s">
        <v>22</v>
      </c>
    </row>
    <row r="14" customFormat="false" ht="15" hidden="false" customHeight="false" outlineLevel="0" collapsed="false">
      <c r="G14" s="7" t="s">
        <v>23</v>
      </c>
    </row>
    <row r="15" customFormat="false" ht="15" hidden="false" customHeight="false" outlineLevel="0" collapsed="false">
      <c r="A15" s="17" t="s">
        <v>24</v>
      </c>
      <c r="G15" s="7" t="s">
        <v>25</v>
      </c>
    </row>
    <row r="16" customFormat="false" ht="15" hidden="false" customHeight="false" outlineLevel="0" collapsed="false">
      <c r="A16" s="9" t="s">
        <v>26</v>
      </c>
      <c r="C16" s="18" t="n">
        <f aca="false">C11+C12</f>
        <v>0</v>
      </c>
      <c r="G16" s="7"/>
    </row>
    <row r="17" customFormat="false" ht="15" hidden="false" customHeight="false" outlineLevel="0" collapsed="false">
      <c r="A17" s="9" t="s">
        <v>27</v>
      </c>
      <c r="C17" s="19" t="n">
        <f aca="false">COUNTIF('Invoice Register'!$L$5:$L$154,"No")</f>
        <v>0</v>
      </c>
      <c r="G17" s="13" t="s">
        <v>28</v>
      </c>
    </row>
    <row r="18" customFormat="false" ht="15" hidden="false" customHeight="false" outlineLevel="0" collapsed="false">
      <c r="A18" s="9" t="s">
        <v>29</v>
      </c>
      <c r="C18" s="19" t="n">
        <f aca="false">SUMPRODUCT(('Invoice Register'!$B$5:$B$154&lt;&gt;"")*(COUNTIF('Invoice Register'!$B$5:$B$154,'Invoice Register'!$B$5:$B$154)&gt;1))</f>
        <v>0</v>
      </c>
      <c r="G18" s="7" t="s">
        <v>30</v>
      </c>
    </row>
    <row r="19" customFormat="false" ht="15" hidden="false" customHeight="false" outlineLevel="0" collapsed="false">
      <c r="A19" s="9" t="s">
        <v>31</v>
      </c>
      <c r="C19" s="20" t="str">
        <f aca="false">IF(ROUND(C13-SUM('Invoice Register'!$H$5:$H$154),2)=0,"Yes","CHECK")</f>
        <v>Yes</v>
      </c>
      <c r="G19" s="7" t="s">
        <v>32</v>
      </c>
    </row>
    <row r="20" customFormat="false" ht="15" hidden="false" customHeight="false" outlineLevel="0" collapsed="false">
      <c r="G20" s="7" t="s">
        <v>33</v>
      </c>
    </row>
    <row r="21" customFormat="false" ht="15" hidden="false" customHeight="false" outlineLevel="0" collapsed="false">
      <c r="G21" s="21" t="s">
        <v>34</v>
      </c>
    </row>
  </sheetData>
  <conditionalFormatting sqref="E8:E12">
    <cfRule type="dataBar" priority="2">
      <dataBar showValue="1" minLength="10" maxLength="90">
        <cfvo type="num" val="0"/>
        <cfvo type="num" val="1"/>
        <color rgb="FFE31B6D"/>
      </dataBar>
      <extLst>
        <ext xmlns:x14="http://schemas.microsoft.com/office/spreadsheetml/2009/9/main" uri="{B025F937-C7B1-47D3-B67F-A62EFF666E3E}">
          <x14:id>{3147E0F1-53B1-4749-B740-5C88503999F7}</x14:id>
        </ext>
      </extLst>
    </cfRule>
  </conditionalFormatting>
  <conditionalFormatting sqref="C19">
    <cfRule type="cellIs" priority="3" operator="equal" aboveAverage="0" equalAverage="0" bottom="0" percent="0" rank="0" text="" dxfId="0">
      <formula>"Yes"</formula>
    </cfRule>
    <cfRule type="cellIs" priority="4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47E0F1-53B1-4749-B740-5C88503999F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31B6D"/>
              <x14:axisColor rgb="FF000000"/>
            </x14:dataBar>
          </x14:cfRule>
          <xm:sqref>E8:E12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30"/>
    <col collapsed="false" customWidth="true" hidden="false" outlineLevel="0" max="12" min="12" style="0" width="14"/>
    <col collapsed="false" customWidth="true" hidden="false" outlineLevel="0" max="13" min="13" style="0" width="3"/>
    <col collapsed="false" customWidth="true" hidden="false" outlineLevel="0" max="14" min="14" style="0" width="74"/>
  </cols>
  <sheetData>
    <row r="1" customFormat="false" ht="27.75" hidden="false" customHeight="true" outlineLevel="0" collapsed="false">
      <c r="A1" s="1" t="s">
        <v>35</v>
      </c>
    </row>
    <row r="2" customFormat="false" ht="15" hidden="false" customHeight="false" outlineLevel="0" collapsed="false">
      <c r="A2" s="3" t="s">
        <v>1</v>
      </c>
    </row>
    <row r="4" customFormat="false" ht="33.75" hidden="false" customHeight="true" outlineLevel="0" collapsed="false">
      <c r="A4" s="22" t="s">
        <v>36</v>
      </c>
      <c r="B4" s="22" t="s">
        <v>37</v>
      </c>
      <c r="C4" s="22" t="s">
        <v>38</v>
      </c>
      <c r="D4" s="22" t="s">
        <v>39</v>
      </c>
      <c r="E4" s="23" t="s">
        <v>40</v>
      </c>
      <c r="F4" s="22" t="s">
        <v>41</v>
      </c>
      <c r="G4" s="22" t="s">
        <v>42</v>
      </c>
      <c r="H4" s="23" t="s">
        <v>7</v>
      </c>
      <c r="I4" s="23" t="s">
        <v>43</v>
      </c>
      <c r="J4" s="23" t="s">
        <v>6</v>
      </c>
      <c r="K4" s="23" t="s">
        <v>44</v>
      </c>
      <c r="L4" s="22" t="s">
        <v>45</v>
      </c>
      <c r="N4" s="6" t="s">
        <v>46</v>
      </c>
    </row>
    <row r="5" customFormat="false" ht="15" hidden="false" customHeight="false" outlineLevel="0" collapsed="false">
      <c r="A5" s="24"/>
      <c r="B5" s="24"/>
      <c r="C5" s="25"/>
      <c r="D5" s="24"/>
      <c r="E5" s="25" t="str">
        <f aca="false">IF(OR(C5="",D5=""),"",C5+D5)</f>
        <v/>
      </c>
      <c r="F5" s="26"/>
      <c r="G5" s="26"/>
      <c r="H5" s="26" t="str">
        <f aca="false">IF(F5="","",F5-N(G5))</f>
        <v/>
      </c>
      <c r="I5" s="27" t="str">
        <f aca="false">IF(OR(H5="",E5=""),"",IF(H5&lt;=0,0,MAX(0,'Aging Summary'!$Z$1-E5)))</f>
        <v/>
      </c>
      <c r="J5" s="24" t="str">
        <f aca="false">IF(H5="","",IF(H5&lt;=0,"Paid",IF(OR(I5="",I5=0),"Current",IF(I5&lt;=30,"Up to one month past due",IF(I5&lt;=60,"One to two months past due",IF(I5&lt;=90,"Two to three months past due","Over three months past due"))))))</f>
        <v/>
      </c>
      <c r="K5" s="24" t="str">
        <f aca="false">IF(J5="","",IF(J5="Paid","None: closed",IF(J5="Current","Schedule for next payment run",IF(J5="Up to one month past due","Pay this week",IF(J5="One to two months past due","Contact vendor and confirm balance","Escalate and check for dispute")))))</f>
        <v/>
      </c>
      <c r="L5" s="24"/>
      <c r="N5" s="7" t="s">
        <v>47</v>
      </c>
    </row>
    <row r="6" customFormat="false" ht="15" hidden="false" customHeight="false" outlineLevel="0" collapsed="false">
      <c r="A6" s="28"/>
      <c r="B6" s="28"/>
      <c r="C6" s="29"/>
      <c r="D6" s="28"/>
      <c r="E6" s="29" t="str">
        <f aca="false">IF(OR(C6="",D6=""),"",C6+D6)</f>
        <v/>
      </c>
      <c r="F6" s="30"/>
      <c r="G6" s="30"/>
      <c r="H6" s="30" t="str">
        <f aca="false">IF(F6="","",F6-N(G6))</f>
        <v/>
      </c>
      <c r="I6" s="31" t="str">
        <f aca="false">IF(OR(H6="",E6=""),"",IF(H6&lt;=0,0,MAX(0,'Aging Summary'!$Z$1-E6)))</f>
        <v/>
      </c>
      <c r="J6" s="28" t="str">
        <f aca="false">IF(H6="","",IF(H6&lt;=0,"Paid",IF(OR(I6="",I6=0),"Current",IF(I6&lt;=30,"Up to one month past due",IF(I6&lt;=60,"One to two months past due",IF(I6&lt;=90,"Two to three months past due","Over three months past due"))))))</f>
        <v/>
      </c>
      <c r="K6" s="28" t="str">
        <f aca="false">IF(J6="","",IF(J6="Paid","None: closed",IF(J6="Current","Schedule for next payment run",IF(J6="Up to one month past due","Pay this week",IF(J6="One to two months past due","Contact vendor and confirm balance","Escalate and check for dispute")))))</f>
        <v/>
      </c>
      <c r="L6" s="28"/>
      <c r="N6" s="7" t="s">
        <v>48</v>
      </c>
    </row>
    <row r="7" customFormat="false" ht="15" hidden="false" customHeight="false" outlineLevel="0" collapsed="false">
      <c r="A7" s="24"/>
      <c r="B7" s="24"/>
      <c r="C7" s="25"/>
      <c r="D7" s="24"/>
      <c r="E7" s="25" t="str">
        <f aca="false">IF(OR(C7="",D7=""),"",C7+D7)</f>
        <v/>
      </c>
      <c r="F7" s="26"/>
      <c r="G7" s="26"/>
      <c r="H7" s="26" t="str">
        <f aca="false">IF(F7="","",F7-N(G7))</f>
        <v/>
      </c>
      <c r="I7" s="27" t="str">
        <f aca="false">IF(OR(H7="",E7=""),"",IF(H7&lt;=0,0,MAX(0,'Aging Summary'!$Z$1-E7)))</f>
        <v/>
      </c>
      <c r="J7" s="24" t="str">
        <f aca="false">IF(H7="","",IF(H7&lt;=0,"Paid",IF(OR(I7="",I7=0),"Current",IF(I7&lt;=30,"Up to one month past due",IF(I7&lt;=60,"One to two months past due",IF(I7&lt;=90,"Two to three months past due","Over three months past due"))))))</f>
        <v/>
      </c>
      <c r="K7" s="24" t="str">
        <f aca="false">IF(J7="","",IF(J7="Paid","None: closed",IF(J7="Current","Schedule for next payment run",IF(J7="Up to one month past due","Pay this week",IF(J7="One to two months past due","Contact vendor and confirm balance","Escalate and check for dispute")))))</f>
        <v/>
      </c>
      <c r="L7" s="24"/>
      <c r="N7" s="7" t="s">
        <v>49</v>
      </c>
    </row>
    <row r="8" customFormat="false" ht="15" hidden="false" customHeight="false" outlineLevel="0" collapsed="false">
      <c r="A8" s="28"/>
      <c r="B8" s="28"/>
      <c r="C8" s="29"/>
      <c r="D8" s="28"/>
      <c r="E8" s="29" t="str">
        <f aca="false">IF(OR(C8="",D8=""),"",C8+D8)</f>
        <v/>
      </c>
      <c r="F8" s="30"/>
      <c r="G8" s="30"/>
      <c r="H8" s="30" t="str">
        <f aca="false">IF(F8="","",F8-N(G8))</f>
        <v/>
      </c>
      <c r="I8" s="31" t="str">
        <f aca="false">IF(OR(H8="",E8=""),"",IF(H8&lt;=0,0,MAX(0,'Aging Summary'!$Z$1-E8)))</f>
        <v/>
      </c>
      <c r="J8" s="28" t="str">
        <f aca="false">IF(H8="","",IF(H8&lt;=0,"Paid",IF(OR(I8="",I8=0),"Current",IF(I8&lt;=30,"Up to one month past due",IF(I8&lt;=60,"One to two months past due",IF(I8&lt;=90,"Two to three months past due","Over three months past due"))))))</f>
        <v/>
      </c>
      <c r="K8" s="28" t="str">
        <f aca="false">IF(J8="","",IF(J8="Paid","None: closed",IF(J8="Current","Schedule for next payment run",IF(J8="Up to one month past due","Pay this week",IF(J8="One to two months past due","Contact vendor and confirm balance","Escalate and check for dispute")))))</f>
        <v/>
      </c>
      <c r="L8" s="28"/>
      <c r="N8" s="7" t="s">
        <v>50</v>
      </c>
    </row>
    <row r="9" customFormat="false" ht="15" hidden="false" customHeight="false" outlineLevel="0" collapsed="false">
      <c r="A9" s="24"/>
      <c r="B9" s="24"/>
      <c r="C9" s="25"/>
      <c r="D9" s="24"/>
      <c r="E9" s="25" t="str">
        <f aca="false">IF(OR(C9="",D9=""),"",C9+D9)</f>
        <v/>
      </c>
      <c r="F9" s="26"/>
      <c r="G9" s="26"/>
      <c r="H9" s="26" t="str">
        <f aca="false">IF(F9="","",F9-N(G9))</f>
        <v/>
      </c>
      <c r="I9" s="27" t="str">
        <f aca="false">IF(OR(H9="",E9=""),"",IF(H9&lt;=0,0,MAX(0,'Aging Summary'!$Z$1-E9)))</f>
        <v/>
      </c>
      <c r="J9" s="24" t="str">
        <f aca="false">IF(H9="","",IF(H9&lt;=0,"Paid",IF(OR(I9="",I9=0),"Current",IF(I9&lt;=30,"Up to one month past due",IF(I9&lt;=60,"One to two months past due",IF(I9&lt;=90,"Two to three months past due","Over three months past due"))))))</f>
        <v/>
      </c>
      <c r="K9" s="24" t="str">
        <f aca="false">IF(J9="","",IF(J9="Paid","None: closed",IF(J9="Current","Schedule for next payment run",IF(J9="Up to one month past due","Pay this week",IF(J9="One to two months past due","Contact vendor and confirm balance","Escalate and check for dispute")))))</f>
        <v/>
      </c>
      <c r="L9" s="24"/>
      <c r="N9" s="7" t="s">
        <v>51</v>
      </c>
    </row>
    <row r="10" customFormat="false" ht="15" hidden="false" customHeight="false" outlineLevel="0" collapsed="false">
      <c r="A10" s="28"/>
      <c r="B10" s="28"/>
      <c r="C10" s="29"/>
      <c r="D10" s="28"/>
      <c r="E10" s="29" t="str">
        <f aca="false">IF(OR(C10="",D10=""),"",C10+D10)</f>
        <v/>
      </c>
      <c r="F10" s="30"/>
      <c r="G10" s="30"/>
      <c r="H10" s="30" t="str">
        <f aca="false">IF(F10="","",F10-N(G10))</f>
        <v/>
      </c>
      <c r="I10" s="31" t="str">
        <f aca="false">IF(OR(H10="",E10=""),"",IF(H10&lt;=0,0,MAX(0,'Aging Summary'!$Z$1-E10)))</f>
        <v/>
      </c>
      <c r="J10" s="28" t="str">
        <f aca="false">IF(H10="","",IF(H10&lt;=0,"Paid",IF(OR(I10="",I10=0),"Current",IF(I10&lt;=30,"Up to one month past due",IF(I10&lt;=60,"One to two months past due",IF(I10&lt;=90,"Two to three months past due","Over three months past due"))))))</f>
        <v/>
      </c>
      <c r="K10" s="28" t="str">
        <f aca="false">IF(J10="","",IF(J10="Paid","None: closed",IF(J10="Current","Schedule for next payment run",IF(J10="Up to one month past due","Pay this week",IF(J10="One to two months past due","Contact vendor and confirm balance","Escalate and check for dispute")))))</f>
        <v/>
      </c>
      <c r="L10" s="28"/>
      <c r="N10" s="7" t="s">
        <v>52</v>
      </c>
    </row>
    <row r="11" customFormat="false" ht="15" hidden="false" customHeight="false" outlineLevel="0" collapsed="false">
      <c r="A11" s="24"/>
      <c r="B11" s="24"/>
      <c r="C11" s="25"/>
      <c r="D11" s="24"/>
      <c r="E11" s="25" t="str">
        <f aca="false">IF(OR(C11="",D11=""),"",C11+D11)</f>
        <v/>
      </c>
      <c r="F11" s="26"/>
      <c r="G11" s="26"/>
      <c r="H11" s="26" t="str">
        <f aca="false">IF(F11="","",F11-N(G11))</f>
        <v/>
      </c>
      <c r="I11" s="27" t="str">
        <f aca="false">IF(OR(H11="",E11=""),"",IF(H11&lt;=0,0,MAX(0,'Aging Summary'!$Z$1-E11)))</f>
        <v/>
      </c>
      <c r="J11" s="24" t="str">
        <f aca="false">IF(H11="","",IF(H11&lt;=0,"Paid",IF(OR(I11="",I11=0),"Current",IF(I11&lt;=30,"Up to one month past due",IF(I11&lt;=60,"One to two months past due",IF(I11&lt;=90,"Two to three months past due","Over three months past due"))))))</f>
        <v/>
      </c>
      <c r="K11" s="24" t="str">
        <f aca="false">IF(J11="","",IF(J11="Paid","None: closed",IF(J11="Current","Schedule for next payment run",IF(J11="Up to one month past due","Pay this week",IF(J11="One to two months past due","Contact vendor and confirm balance","Escalate and check for dispute")))))</f>
        <v/>
      </c>
      <c r="L11" s="24"/>
      <c r="N11" s="7" t="s">
        <v>53</v>
      </c>
    </row>
    <row r="12" customFormat="false" ht="15" hidden="false" customHeight="false" outlineLevel="0" collapsed="false">
      <c r="A12" s="28"/>
      <c r="B12" s="28"/>
      <c r="C12" s="29"/>
      <c r="D12" s="28"/>
      <c r="E12" s="29" t="str">
        <f aca="false">IF(OR(C12="",D12=""),"",C12+D12)</f>
        <v/>
      </c>
      <c r="F12" s="30"/>
      <c r="G12" s="30"/>
      <c r="H12" s="30" t="str">
        <f aca="false">IF(F12="","",F12-N(G12))</f>
        <v/>
      </c>
      <c r="I12" s="31" t="str">
        <f aca="false">IF(OR(H12="",E12=""),"",IF(H12&lt;=0,0,MAX(0,'Aging Summary'!$Z$1-E12)))</f>
        <v/>
      </c>
      <c r="J12" s="28" t="str">
        <f aca="false">IF(H12="","",IF(H12&lt;=0,"Paid",IF(OR(I12="",I12=0),"Current",IF(I12&lt;=30,"Up to one month past due",IF(I12&lt;=60,"One to two months past due",IF(I12&lt;=90,"Two to three months past due","Over three months past due"))))))</f>
        <v/>
      </c>
      <c r="K12" s="28" t="str">
        <f aca="false">IF(J12="","",IF(J12="Paid","None: closed",IF(J12="Current","Schedule for next payment run",IF(J12="Up to one month past due","Pay this week",IF(J12="One to two months past due","Contact vendor and confirm balance","Escalate and check for dispute")))))</f>
        <v/>
      </c>
      <c r="L12" s="28"/>
      <c r="N12" s="7"/>
    </row>
    <row r="13" customFormat="false" ht="15" hidden="false" customHeight="false" outlineLevel="0" collapsed="false">
      <c r="A13" s="24"/>
      <c r="B13" s="24"/>
      <c r="C13" s="25"/>
      <c r="D13" s="24"/>
      <c r="E13" s="25" t="str">
        <f aca="false">IF(OR(C13="",D13=""),"",C13+D13)</f>
        <v/>
      </c>
      <c r="F13" s="26"/>
      <c r="G13" s="26"/>
      <c r="H13" s="26" t="str">
        <f aca="false">IF(F13="","",F13-N(G13))</f>
        <v/>
      </c>
      <c r="I13" s="27" t="str">
        <f aca="false">IF(OR(H13="",E13=""),"",IF(H13&lt;=0,0,MAX(0,'Aging Summary'!$Z$1-E13)))</f>
        <v/>
      </c>
      <c r="J13" s="24" t="str">
        <f aca="false">IF(H13="","",IF(H13&lt;=0,"Paid",IF(OR(I13="",I13=0),"Current",IF(I13&lt;=30,"Up to one month past due",IF(I13&lt;=60,"One to two months past due",IF(I13&lt;=90,"Two to three months past due","Over three months past due"))))))</f>
        <v/>
      </c>
      <c r="K13" s="24" t="str">
        <f aca="false">IF(J13="","",IF(J13="Paid","None: closed",IF(J13="Current","Schedule for next payment run",IF(J13="Up to one month past due","Pay this week",IF(J13="One to two months past due","Contact vendor and confirm balance","Escalate and check for dispute")))))</f>
        <v/>
      </c>
      <c r="L13" s="24"/>
      <c r="N13" s="13" t="s">
        <v>28</v>
      </c>
    </row>
    <row r="14" customFormat="false" ht="15" hidden="false" customHeight="false" outlineLevel="0" collapsed="false">
      <c r="A14" s="28"/>
      <c r="B14" s="28"/>
      <c r="C14" s="29"/>
      <c r="D14" s="28"/>
      <c r="E14" s="29" t="str">
        <f aca="false">IF(OR(C14="",D14=""),"",C14+D14)</f>
        <v/>
      </c>
      <c r="F14" s="30"/>
      <c r="G14" s="30"/>
      <c r="H14" s="30" t="str">
        <f aca="false">IF(F14="","",F14-N(G14))</f>
        <v/>
      </c>
      <c r="I14" s="31" t="str">
        <f aca="false">IF(OR(H14="",E14=""),"",IF(H14&lt;=0,0,MAX(0,'Aging Summary'!$Z$1-E14)))</f>
        <v/>
      </c>
      <c r="J14" s="28" t="str">
        <f aca="false">IF(H14="","",IF(H14&lt;=0,"Paid",IF(OR(I14="",I14=0),"Current",IF(I14&lt;=30,"Up to one month past due",IF(I14&lt;=60,"One to two months past due",IF(I14&lt;=90,"Two to three months past due","Over three months past due"))))))</f>
        <v/>
      </c>
      <c r="K14" s="28" t="str">
        <f aca="false">IF(J14="","",IF(J14="Paid","None: closed",IF(J14="Current","Schedule for next payment run",IF(J14="Up to one month past due","Pay this week",IF(J14="One to two months past due","Contact vendor and confirm balance","Escalate and check for dispute")))))</f>
        <v/>
      </c>
      <c r="L14" s="28"/>
      <c r="N14" s="7" t="s">
        <v>30</v>
      </c>
    </row>
    <row r="15" customFormat="false" ht="15" hidden="false" customHeight="false" outlineLevel="0" collapsed="false">
      <c r="A15" s="24"/>
      <c r="B15" s="24"/>
      <c r="C15" s="25"/>
      <c r="D15" s="24"/>
      <c r="E15" s="25" t="str">
        <f aca="false">IF(OR(C15="",D15=""),"",C15+D15)</f>
        <v/>
      </c>
      <c r="F15" s="26"/>
      <c r="G15" s="26"/>
      <c r="H15" s="26" t="str">
        <f aca="false">IF(F15="","",F15-N(G15))</f>
        <v/>
      </c>
      <c r="I15" s="27" t="str">
        <f aca="false">IF(OR(H15="",E15=""),"",IF(H15&lt;=0,0,MAX(0,'Aging Summary'!$Z$1-E15)))</f>
        <v/>
      </c>
      <c r="J15" s="24" t="str">
        <f aca="false">IF(H15="","",IF(H15&lt;=0,"Paid",IF(OR(I15="",I15=0),"Current",IF(I15&lt;=30,"Up to one month past due",IF(I15&lt;=60,"One to two months past due",IF(I15&lt;=90,"Two to three months past due","Over three months past due"))))))</f>
        <v/>
      </c>
      <c r="K15" s="24" t="str">
        <f aca="false">IF(J15="","",IF(J15="Paid","None: closed",IF(J15="Current","Schedule for next payment run",IF(J15="Up to one month past due","Pay this week",IF(J15="One to two months past due","Contact vendor and confirm balance","Escalate and check for dispute")))))</f>
        <v/>
      </c>
      <c r="L15" s="24"/>
      <c r="N15" s="7" t="s">
        <v>32</v>
      </c>
    </row>
    <row r="16" customFormat="false" ht="15" hidden="false" customHeight="false" outlineLevel="0" collapsed="false">
      <c r="A16" s="28"/>
      <c r="B16" s="28"/>
      <c r="C16" s="29"/>
      <c r="D16" s="28"/>
      <c r="E16" s="29" t="str">
        <f aca="false">IF(OR(C16="",D16=""),"",C16+D16)</f>
        <v/>
      </c>
      <c r="F16" s="30"/>
      <c r="G16" s="30"/>
      <c r="H16" s="30" t="str">
        <f aca="false">IF(F16="","",F16-N(G16))</f>
        <v/>
      </c>
      <c r="I16" s="31" t="str">
        <f aca="false">IF(OR(H16="",E16=""),"",IF(H16&lt;=0,0,MAX(0,'Aging Summary'!$Z$1-E16)))</f>
        <v/>
      </c>
      <c r="J16" s="28" t="str">
        <f aca="false">IF(H16="","",IF(H16&lt;=0,"Paid",IF(OR(I16="",I16=0),"Current",IF(I16&lt;=30,"Up to one month past due",IF(I16&lt;=60,"One to two months past due",IF(I16&lt;=90,"Two to three months past due","Over three months past due"))))))</f>
        <v/>
      </c>
      <c r="K16" s="28" t="str">
        <f aca="false">IF(J16="","",IF(J16="Paid","None: closed",IF(J16="Current","Schedule for next payment run",IF(J16="Up to one month past due","Pay this week",IF(J16="One to two months past due","Contact vendor and confirm balance","Escalate and check for dispute")))))</f>
        <v/>
      </c>
      <c r="L16" s="28"/>
      <c r="N16" s="7" t="s">
        <v>33</v>
      </c>
    </row>
    <row r="17" customFormat="false" ht="15" hidden="false" customHeight="false" outlineLevel="0" collapsed="false">
      <c r="A17" s="24"/>
      <c r="B17" s="24"/>
      <c r="C17" s="25"/>
      <c r="D17" s="24"/>
      <c r="E17" s="25" t="str">
        <f aca="false">IF(OR(C17="",D17=""),"",C17+D17)</f>
        <v/>
      </c>
      <c r="F17" s="26"/>
      <c r="G17" s="26"/>
      <c r="H17" s="26" t="str">
        <f aca="false">IF(F17="","",F17-N(G17))</f>
        <v/>
      </c>
      <c r="I17" s="27" t="str">
        <f aca="false">IF(OR(H17="",E17=""),"",IF(H17&lt;=0,0,MAX(0,'Aging Summary'!$Z$1-E17)))</f>
        <v/>
      </c>
      <c r="J17" s="24" t="str">
        <f aca="false">IF(H17="","",IF(H17&lt;=0,"Paid",IF(OR(I17="",I17=0),"Current",IF(I17&lt;=30,"Up to one month past due",IF(I17&lt;=60,"One to two months past due",IF(I17&lt;=90,"Two to three months past due","Over three months past due"))))))</f>
        <v/>
      </c>
      <c r="K17" s="24" t="str">
        <f aca="false">IF(J17="","",IF(J17="Paid","None: closed",IF(J17="Current","Schedule for next payment run",IF(J17="Up to one month past due","Pay this week",IF(J17="One to two months past due","Contact vendor and confirm balance","Escalate and check for dispute")))))</f>
        <v/>
      </c>
      <c r="L17" s="24"/>
      <c r="N17" s="21" t="s">
        <v>34</v>
      </c>
    </row>
    <row r="18" customFormat="false" ht="15" hidden="false" customHeight="false" outlineLevel="0" collapsed="false">
      <c r="A18" s="28"/>
      <c r="B18" s="28"/>
      <c r="C18" s="29"/>
      <c r="D18" s="28"/>
      <c r="E18" s="29" t="str">
        <f aca="false">IF(OR(C18="",D18=""),"",C18+D18)</f>
        <v/>
      </c>
      <c r="F18" s="30"/>
      <c r="G18" s="30"/>
      <c r="H18" s="30" t="str">
        <f aca="false">IF(F18="","",F18-N(G18))</f>
        <v/>
      </c>
      <c r="I18" s="31" t="str">
        <f aca="false">IF(OR(H18="",E18=""),"",IF(H18&lt;=0,0,MAX(0,'Aging Summary'!$Z$1-E18)))</f>
        <v/>
      </c>
      <c r="J18" s="28" t="str">
        <f aca="false">IF(H18="","",IF(H18&lt;=0,"Paid",IF(OR(I18="",I18=0),"Current",IF(I18&lt;=30,"Up to one month past due",IF(I18&lt;=60,"One to two months past due",IF(I18&lt;=90,"Two to three months past due","Over three months past due"))))))</f>
        <v/>
      </c>
      <c r="K18" s="28" t="str">
        <f aca="false">IF(J18="","",IF(J18="Paid","None: closed",IF(J18="Current","Schedule for next payment run",IF(J18="Up to one month past due","Pay this week",IF(J18="One to two months past due","Contact vendor and confirm balance","Escalate and check for dispute")))))</f>
        <v/>
      </c>
      <c r="L18" s="28"/>
    </row>
    <row r="19" customFormat="false" ht="15" hidden="false" customHeight="false" outlineLevel="0" collapsed="false">
      <c r="A19" s="24"/>
      <c r="B19" s="24"/>
      <c r="C19" s="25"/>
      <c r="D19" s="24"/>
      <c r="E19" s="25" t="str">
        <f aca="false">IF(OR(C19="",D19=""),"",C19+D19)</f>
        <v/>
      </c>
      <c r="F19" s="26"/>
      <c r="G19" s="26"/>
      <c r="H19" s="26" t="str">
        <f aca="false">IF(F19="","",F19-N(G19))</f>
        <v/>
      </c>
      <c r="I19" s="27" t="str">
        <f aca="false">IF(OR(H19="",E19=""),"",IF(H19&lt;=0,0,MAX(0,'Aging Summary'!$Z$1-E19)))</f>
        <v/>
      </c>
      <c r="J19" s="24" t="str">
        <f aca="false">IF(H19="","",IF(H19&lt;=0,"Paid",IF(OR(I19="",I19=0),"Current",IF(I19&lt;=30,"Up to one month past due",IF(I19&lt;=60,"One to two months past due",IF(I19&lt;=90,"Two to three months past due","Over three months past due"))))))</f>
        <v/>
      </c>
      <c r="K19" s="24" t="str">
        <f aca="false">IF(J19="","",IF(J19="Paid","None: closed",IF(J19="Current","Schedule for next payment run",IF(J19="Up to one month past due","Pay this week",IF(J19="One to two months past due","Contact vendor and confirm balance","Escalate and check for dispute")))))</f>
        <v/>
      </c>
      <c r="L19" s="24"/>
    </row>
    <row r="20" customFormat="false" ht="15" hidden="false" customHeight="false" outlineLevel="0" collapsed="false">
      <c r="A20" s="28"/>
      <c r="B20" s="28"/>
      <c r="C20" s="29"/>
      <c r="D20" s="28"/>
      <c r="E20" s="29" t="str">
        <f aca="false">IF(OR(C20="",D20=""),"",C20+D20)</f>
        <v/>
      </c>
      <c r="F20" s="30"/>
      <c r="G20" s="30"/>
      <c r="H20" s="30" t="str">
        <f aca="false">IF(F20="","",F20-N(G20))</f>
        <v/>
      </c>
      <c r="I20" s="31" t="str">
        <f aca="false">IF(OR(H20="",E20=""),"",IF(H20&lt;=0,0,MAX(0,'Aging Summary'!$Z$1-E20)))</f>
        <v/>
      </c>
      <c r="J20" s="28" t="str">
        <f aca="false">IF(H20="","",IF(H20&lt;=0,"Paid",IF(OR(I20="",I20=0),"Current",IF(I20&lt;=30,"Up to one month past due",IF(I20&lt;=60,"One to two months past due",IF(I20&lt;=90,"Two to three months past due","Over three months past due"))))))</f>
        <v/>
      </c>
      <c r="K20" s="28" t="str">
        <f aca="false">IF(J20="","",IF(J20="Paid","None: closed",IF(J20="Current","Schedule for next payment run",IF(J20="Up to one month past due","Pay this week",IF(J20="One to two months past due","Contact vendor and confirm balance","Escalate and check for dispute")))))</f>
        <v/>
      </c>
      <c r="L20" s="28"/>
    </row>
    <row r="21" customFormat="false" ht="15" hidden="false" customHeight="false" outlineLevel="0" collapsed="false">
      <c r="A21" s="24"/>
      <c r="B21" s="24"/>
      <c r="C21" s="25"/>
      <c r="D21" s="24"/>
      <c r="E21" s="25" t="str">
        <f aca="false">IF(OR(C21="",D21=""),"",C21+D21)</f>
        <v/>
      </c>
      <c r="F21" s="26"/>
      <c r="G21" s="26"/>
      <c r="H21" s="26" t="str">
        <f aca="false">IF(F21="","",F21-N(G21))</f>
        <v/>
      </c>
      <c r="I21" s="27" t="str">
        <f aca="false">IF(OR(H21="",E21=""),"",IF(H21&lt;=0,0,MAX(0,'Aging Summary'!$Z$1-E21)))</f>
        <v/>
      </c>
      <c r="J21" s="24" t="str">
        <f aca="false">IF(H21="","",IF(H21&lt;=0,"Paid",IF(OR(I21="",I21=0),"Current",IF(I21&lt;=30,"Up to one month past due",IF(I21&lt;=60,"One to two months past due",IF(I21&lt;=90,"Two to three months past due","Over three months past due"))))))</f>
        <v/>
      </c>
      <c r="K21" s="24" t="str">
        <f aca="false">IF(J21="","",IF(J21="Paid","None: closed",IF(J21="Current","Schedule for next payment run",IF(J21="Up to one month past due","Pay this week",IF(J21="One to two months past due","Contact vendor and confirm balance","Escalate and check for dispute")))))</f>
        <v/>
      </c>
      <c r="L21" s="24"/>
    </row>
    <row r="22" customFormat="false" ht="15" hidden="false" customHeight="false" outlineLevel="0" collapsed="false">
      <c r="A22" s="28"/>
      <c r="B22" s="28"/>
      <c r="C22" s="29"/>
      <c r="D22" s="28"/>
      <c r="E22" s="29" t="str">
        <f aca="false">IF(OR(C22="",D22=""),"",C22+D22)</f>
        <v/>
      </c>
      <c r="F22" s="30"/>
      <c r="G22" s="30"/>
      <c r="H22" s="30" t="str">
        <f aca="false">IF(F22="","",F22-N(G22))</f>
        <v/>
      </c>
      <c r="I22" s="31" t="str">
        <f aca="false">IF(OR(H22="",E22=""),"",IF(H22&lt;=0,0,MAX(0,'Aging Summary'!$Z$1-E22)))</f>
        <v/>
      </c>
      <c r="J22" s="28" t="str">
        <f aca="false">IF(H22="","",IF(H22&lt;=0,"Paid",IF(OR(I22="",I22=0),"Current",IF(I22&lt;=30,"Up to one month past due",IF(I22&lt;=60,"One to two months past due",IF(I22&lt;=90,"Two to three months past due","Over three months past due"))))))</f>
        <v/>
      </c>
      <c r="K22" s="28" t="str">
        <f aca="false">IF(J22="","",IF(J22="Paid","None: closed",IF(J22="Current","Schedule for next payment run",IF(J22="Up to one month past due","Pay this week",IF(J22="One to two months past due","Contact vendor and confirm balance","Escalate and check for dispute")))))</f>
        <v/>
      </c>
      <c r="L22" s="28"/>
    </row>
    <row r="23" customFormat="false" ht="15" hidden="false" customHeight="false" outlineLevel="0" collapsed="false">
      <c r="A23" s="24"/>
      <c r="B23" s="24"/>
      <c r="C23" s="25"/>
      <c r="D23" s="24"/>
      <c r="E23" s="25" t="str">
        <f aca="false">IF(OR(C23="",D23=""),"",C23+D23)</f>
        <v/>
      </c>
      <c r="F23" s="26"/>
      <c r="G23" s="26"/>
      <c r="H23" s="26" t="str">
        <f aca="false">IF(F23="","",F23-N(G23))</f>
        <v/>
      </c>
      <c r="I23" s="27" t="str">
        <f aca="false">IF(OR(H23="",E23=""),"",IF(H23&lt;=0,0,MAX(0,'Aging Summary'!$Z$1-E23)))</f>
        <v/>
      </c>
      <c r="J23" s="24" t="str">
        <f aca="false">IF(H23="","",IF(H23&lt;=0,"Paid",IF(OR(I23="",I23=0),"Current",IF(I23&lt;=30,"Up to one month past due",IF(I23&lt;=60,"One to two months past due",IF(I23&lt;=90,"Two to three months past due","Over three months past due"))))))</f>
        <v/>
      </c>
      <c r="K23" s="24" t="str">
        <f aca="false">IF(J23="","",IF(J23="Paid","None: closed",IF(J23="Current","Schedule for next payment run",IF(J23="Up to one month past due","Pay this week",IF(J23="One to two months past due","Contact vendor and confirm balance","Escalate and check for dispute")))))</f>
        <v/>
      </c>
      <c r="L23" s="24"/>
    </row>
    <row r="24" customFormat="false" ht="15" hidden="false" customHeight="false" outlineLevel="0" collapsed="false">
      <c r="A24" s="28"/>
      <c r="B24" s="28"/>
      <c r="C24" s="29"/>
      <c r="D24" s="28"/>
      <c r="E24" s="29" t="str">
        <f aca="false">IF(OR(C24="",D24=""),"",C24+D24)</f>
        <v/>
      </c>
      <c r="F24" s="30"/>
      <c r="G24" s="30"/>
      <c r="H24" s="30" t="str">
        <f aca="false">IF(F24="","",F24-N(G24))</f>
        <v/>
      </c>
      <c r="I24" s="31" t="str">
        <f aca="false">IF(OR(H24="",E24=""),"",IF(H24&lt;=0,0,MAX(0,'Aging Summary'!$Z$1-E24)))</f>
        <v/>
      </c>
      <c r="J24" s="28" t="str">
        <f aca="false">IF(H24="","",IF(H24&lt;=0,"Paid",IF(OR(I24="",I24=0),"Current",IF(I24&lt;=30,"Up to one month past due",IF(I24&lt;=60,"One to two months past due",IF(I24&lt;=90,"Two to three months past due","Over three months past due"))))))</f>
        <v/>
      </c>
      <c r="K24" s="28" t="str">
        <f aca="false">IF(J24="","",IF(J24="Paid","None: closed",IF(J24="Current","Schedule for next payment run",IF(J24="Up to one month past due","Pay this week",IF(J24="One to two months past due","Contact vendor and confirm balance","Escalate and check for dispute")))))</f>
        <v/>
      </c>
      <c r="L24" s="28"/>
    </row>
    <row r="25" customFormat="false" ht="15" hidden="false" customHeight="false" outlineLevel="0" collapsed="false">
      <c r="A25" s="24"/>
      <c r="B25" s="24"/>
      <c r="C25" s="25"/>
      <c r="D25" s="24"/>
      <c r="E25" s="25" t="str">
        <f aca="false">IF(OR(C25="",D25=""),"",C25+D25)</f>
        <v/>
      </c>
      <c r="F25" s="26"/>
      <c r="G25" s="26"/>
      <c r="H25" s="26" t="str">
        <f aca="false">IF(F25="","",F25-N(G25))</f>
        <v/>
      </c>
      <c r="I25" s="27" t="str">
        <f aca="false">IF(OR(H25="",E25=""),"",IF(H25&lt;=0,0,MAX(0,'Aging Summary'!$Z$1-E25)))</f>
        <v/>
      </c>
      <c r="J25" s="24" t="str">
        <f aca="false">IF(H25="","",IF(H25&lt;=0,"Paid",IF(OR(I25="",I25=0),"Current",IF(I25&lt;=30,"Up to one month past due",IF(I25&lt;=60,"One to two months past due",IF(I25&lt;=90,"Two to three months past due","Over three months past due"))))))</f>
        <v/>
      </c>
      <c r="K25" s="24" t="str">
        <f aca="false">IF(J25="","",IF(J25="Paid","None: closed",IF(J25="Current","Schedule for next payment run",IF(J25="Up to one month past due","Pay this week",IF(J25="One to two months past due","Contact vendor and confirm balance","Escalate and check for dispute")))))</f>
        <v/>
      </c>
      <c r="L25" s="24"/>
    </row>
    <row r="26" customFormat="false" ht="15" hidden="false" customHeight="false" outlineLevel="0" collapsed="false">
      <c r="A26" s="28"/>
      <c r="B26" s="28"/>
      <c r="C26" s="29"/>
      <c r="D26" s="28"/>
      <c r="E26" s="29" t="str">
        <f aca="false">IF(OR(C26="",D26=""),"",C26+D26)</f>
        <v/>
      </c>
      <c r="F26" s="30"/>
      <c r="G26" s="30"/>
      <c r="H26" s="30" t="str">
        <f aca="false">IF(F26="","",F26-N(G26))</f>
        <v/>
      </c>
      <c r="I26" s="31" t="str">
        <f aca="false">IF(OR(H26="",E26=""),"",IF(H26&lt;=0,0,MAX(0,'Aging Summary'!$Z$1-E26)))</f>
        <v/>
      </c>
      <c r="J26" s="28" t="str">
        <f aca="false">IF(H26="","",IF(H26&lt;=0,"Paid",IF(OR(I26="",I26=0),"Current",IF(I26&lt;=30,"Up to one month past due",IF(I26&lt;=60,"One to two months past due",IF(I26&lt;=90,"Two to three months past due","Over three months past due"))))))</f>
        <v/>
      </c>
      <c r="K26" s="28" t="str">
        <f aca="false">IF(J26="","",IF(J26="Paid","None: closed",IF(J26="Current","Schedule for next payment run",IF(J26="Up to one month past due","Pay this week",IF(J26="One to two months past due","Contact vendor and confirm balance","Escalate and check for dispute")))))</f>
        <v/>
      </c>
      <c r="L26" s="28"/>
    </row>
    <row r="27" customFormat="false" ht="15" hidden="false" customHeight="false" outlineLevel="0" collapsed="false">
      <c r="A27" s="24"/>
      <c r="B27" s="24"/>
      <c r="C27" s="25"/>
      <c r="D27" s="24"/>
      <c r="E27" s="25" t="str">
        <f aca="false">IF(OR(C27="",D27=""),"",C27+D27)</f>
        <v/>
      </c>
      <c r="F27" s="26"/>
      <c r="G27" s="26"/>
      <c r="H27" s="26" t="str">
        <f aca="false">IF(F27="","",F27-N(G27))</f>
        <v/>
      </c>
      <c r="I27" s="27" t="str">
        <f aca="false">IF(OR(H27="",E27=""),"",IF(H27&lt;=0,0,MAX(0,'Aging Summary'!$Z$1-E27)))</f>
        <v/>
      </c>
      <c r="J27" s="24" t="str">
        <f aca="false">IF(H27="","",IF(H27&lt;=0,"Paid",IF(OR(I27="",I27=0),"Current",IF(I27&lt;=30,"Up to one month past due",IF(I27&lt;=60,"One to two months past due",IF(I27&lt;=90,"Two to three months past due","Over three months past due"))))))</f>
        <v/>
      </c>
      <c r="K27" s="24" t="str">
        <f aca="false">IF(J27="","",IF(J27="Paid","None: closed",IF(J27="Current","Schedule for next payment run",IF(J27="Up to one month past due","Pay this week",IF(J27="One to two months past due","Contact vendor and confirm balance","Escalate and check for dispute")))))</f>
        <v/>
      </c>
      <c r="L27" s="24"/>
    </row>
    <row r="28" customFormat="false" ht="15" hidden="false" customHeight="false" outlineLevel="0" collapsed="false">
      <c r="A28" s="28"/>
      <c r="B28" s="28"/>
      <c r="C28" s="29"/>
      <c r="D28" s="28"/>
      <c r="E28" s="29" t="str">
        <f aca="false">IF(OR(C28="",D28=""),"",C28+D28)</f>
        <v/>
      </c>
      <c r="F28" s="30"/>
      <c r="G28" s="30"/>
      <c r="H28" s="30" t="str">
        <f aca="false">IF(F28="","",F28-N(G28))</f>
        <v/>
      </c>
      <c r="I28" s="31" t="str">
        <f aca="false">IF(OR(H28="",E28=""),"",IF(H28&lt;=0,0,MAX(0,'Aging Summary'!$Z$1-E28)))</f>
        <v/>
      </c>
      <c r="J28" s="28" t="str">
        <f aca="false">IF(H28="","",IF(H28&lt;=0,"Paid",IF(OR(I28="",I28=0),"Current",IF(I28&lt;=30,"Up to one month past due",IF(I28&lt;=60,"One to two months past due",IF(I28&lt;=90,"Two to three months past due","Over three months past due"))))))</f>
        <v/>
      </c>
      <c r="K28" s="28" t="str">
        <f aca="false">IF(J28="","",IF(J28="Paid","None: closed",IF(J28="Current","Schedule for next payment run",IF(J28="Up to one month past due","Pay this week",IF(J28="One to two months past due","Contact vendor and confirm balance","Escalate and check for dispute")))))</f>
        <v/>
      </c>
      <c r="L28" s="28"/>
    </row>
    <row r="29" customFormat="false" ht="15" hidden="false" customHeight="false" outlineLevel="0" collapsed="false">
      <c r="A29" s="24"/>
      <c r="B29" s="24"/>
      <c r="C29" s="25"/>
      <c r="D29" s="24"/>
      <c r="E29" s="25" t="str">
        <f aca="false">IF(OR(C29="",D29=""),"",C29+D29)</f>
        <v/>
      </c>
      <c r="F29" s="26"/>
      <c r="G29" s="26"/>
      <c r="H29" s="26" t="str">
        <f aca="false">IF(F29="","",F29-N(G29))</f>
        <v/>
      </c>
      <c r="I29" s="27" t="str">
        <f aca="false">IF(OR(H29="",E29=""),"",IF(H29&lt;=0,0,MAX(0,'Aging Summary'!$Z$1-E29)))</f>
        <v/>
      </c>
      <c r="J29" s="24" t="str">
        <f aca="false">IF(H29="","",IF(H29&lt;=0,"Paid",IF(OR(I29="",I29=0),"Current",IF(I29&lt;=30,"Up to one month past due",IF(I29&lt;=60,"One to two months past due",IF(I29&lt;=90,"Two to three months past due","Over three months past due"))))))</f>
        <v/>
      </c>
      <c r="K29" s="24" t="str">
        <f aca="false">IF(J29="","",IF(J29="Paid","None: closed",IF(J29="Current","Schedule for next payment run",IF(J29="Up to one month past due","Pay this week",IF(J29="One to two months past due","Contact vendor and confirm balance","Escalate and check for dispute")))))</f>
        <v/>
      </c>
      <c r="L29" s="24"/>
    </row>
    <row r="30" customFormat="false" ht="15" hidden="false" customHeight="false" outlineLevel="0" collapsed="false">
      <c r="A30" s="28"/>
      <c r="B30" s="28"/>
      <c r="C30" s="29"/>
      <c r="D30" s="28"/>
      <c r="E30" s="29" t="str">
        <f aca="false">IF(OR(C30="",D30=""),"",C30+D30)</f>
        <v/>
      </c>
      <c r="F30" s="30"/>
      <c r="G30" s="30"/>
      <c r="H30" s="30" t="str">
        <f aca="false">IF(F30="","",F30-N(G30))</f>
        <v/>
      </c>
      <c r="I30" s="31" t="str">
        <f aca="false">IF(OR(H30="",E30=""),"",IF(H30&lt;=0,0,MAX(0,'Aging Summary'!$Z$1-E30)))</f>
        <v/>
      </c>
      <c r="J30" s="28" t="str">
        <f aca="false">IF(H30="","",IF(H30&lt;=0,"Paid",IF(OR(I30="",I30=0),"Current",IF(I30&lt;=30,"Up to one month past due",IF(I30&lt;=60,"One to two months past due",IF(I30&lt;=90,"Two to three months past due","Over three months past due"))))))</f>
        <v/>
      </c>
      <c r="K30" s="28" t="str">
        <f aca="false">IF(J30="","",IF(J30="Paid","None: closed",IF(J30="Current","Schedule for next payment run",IF(J30="Up to one month past due","Pay this week",IF(J30="One to two months past due","Contact vendor and confirm balance","Escalate and check for dispute")))))</f>
        <v/>
      </c>
      <c r="L30" s="28"/>
    </row>
    <row r="31" customFormat="false" ht="15" hidden="false" customHeight="false" outlineLevel="0" collapsed="false">
      <c r="A31" s="24"/>
      <c r="B31" s="24"/>
      <c r="C31" s="25"/>
      <c r="D31" s="24"/>
      <c r="E31" s="25" t="str">
        <f aca="false">IF(OR(C31="",D31=""),"",C31+D31)</f>
        <v/>
      </c>
      <c r="F31" s="26"/>
      <c r="G31" s="26"/>
      <c r="H31" s="26" t="str">
        <f aca="false">IF(F31="","",F31-N(G31))</f>
        <v/>
      </c>
      <c r="I31" s="27" t="str">
        <f aca="false">IF(OR(H31="",E31=""),"",IF(H31&lt;=0,0,MAX(0,'Aging Summary'!$Z$1-E31)))</f>
        <v/>
      </c>
      <c r="J31" s="24" t="str">
        <f aca="false">IF(H31="","",IF(H31&lt;=0,"Paid",IF(OR(I31="",I31=0),"Current",IF(I31&lt;=30,"Up to one month past due",IF(I31&lt;=60,"One to two months past due",IF(I31&lt;=90,"Two to three months past due","Over three months past due"))))))</f>
        <v/>
      </c>
      <c r="K31" s="24" t="str">
        <f aca="false">IF(J31="","",IF(J31="Paid","None: closed",IF(J31="Current","Schedule for next payment run",IF(J31="Up to one month past due","Pay this week",IF(J31="One to two months past due","Contact vendor and confirm balance","Escalate and check for dispute")))))</f>
        <v/>
      </c>
      <c r="L31" s="24"/>
    </row>
    <row r="32" customFormat="false" ht="15" hidden="false" customHeight="false" outlineLevel="0" collapsed="false">
      <c r="A32" s="28"/>
      <c r="B32" s="28"/>
      <c r="C32" s="29"/>
      <c r="D32" s="28"/>
      <c r="E32" s="29" t="str">
        <f aca="false">IF(OR(C32="",D32=""),"",C32+D32)</f>
        <v/>
      </c>
      <c r="F32" s="30"/>
      <c r="G32" s="30"/>
      <c r="H32" s="30" t="str">
        <f aca="false">IF(F32="","",F32-N(G32))</f>
        <v/>
      </c>
      <c r="I32" s="31" t="str">
        <f aca="false">IF(OR(H32="",E32=""),"",IF(H32&lt;=0,0,MAX(0,'Aging Summary'!$Z$1-E32)))</f>
        <v/>
      </c>
      <c r="J32" s="28" t="str">
        <f aca="false">IF(H32="","",IF(H32&lt;=0,"Paid",IF(OR(I32="",I32=0),"Current",IF(I32&lt;=30,"Up to one month past due",IF(I32&lt;=60,"One to two months past due",IF(I32&lt;=90,"Two to three months past due","Over three months past due"))))))</f>
        <v/>
      </c>
      <c r="K32" s="28" t="str">
        <f aca="false">IF(J32="","",IF(J32="Paid","None: closed",IF(J32="Current","Schedule for next payment run",IF(J32="Up to one month past due","Pay this week",IF(J32="One to two months past due","Contact vendor and confirm balance","Escalate and check for dispute")))))</f>
        <v/>
      </c>
      <c r="L32" s="28"/>
    </row>
    <row r="33" customFormat="false" ht="15" hidden="false" customHeight="false" outlineLevel="0" collapsed="false">
      <c r="A33" s="24"/>
      <c r="B33" s="24"/>
      <c r="C33" s="25"/>
      <c r="D33" s="24"/>
      <c r="E33" s="25" t="str">
        <f aca="false">IF(OR(C33="",D33=""),"",C33+D33)</f>
        <v/>
      </c>
      <c r="F33" s="26"/>
      <c r="G33" s="26"/>
      <c r="H33" s="26" t="str">
        <f aca="false">IF(F33="","",F33-N(G33))</f>
        <v/>
      </c>
      <c r="I33" s="27" t="str">
        <f aca="false">IF(OR(H33="",E33=""),"",IF(H33&lt;=0,0,MAX(0,'Aging Summary'!$Z$1-E33)))</f>
        <v/>
      </c>
      <c r="J33" s="24" t="str">
        <f aca="false">IF(H33="","",IF(H33&lt;=0,"Paid",IF(OR(I33="",I33=0),"Current",IF(I33&lt;=30,"Up to one month past due",IF(I33&lt;=60,"One to two months past due",IF(I33&lt;=90,"Two to three months past due","Over three months past due"))))))</f>
        <v/>
      </c>
      <c r="K33" s="24" t="str">
        <f aca="false">IF(J33="","",IF(J33="Paid","None: closed",IF(J33="Current","Schedule for next payment run",IF(J33="Up to one month past due","Pay this week",IF(J33="One to two months past due","Contact vendor and confirm balance","Escalate and check for dispute")))))</f>
        <v/>
      </c>
      <c r="L33" s="24"/>
    </row>
    <row r="34" customFormat="false" ht="15" hidden="false" customHeight="false" outlineLevel="0" collapsed="false">
      <c r="A34" s="28"/>
      <c r="B34" s="28"/>
      <c r="C34" s="29"/>
      <c r="D34" s="28"/>
      <c r="E34" s="29" t="str">
        <f aca="false">IF(OR(C34="",D34=""),"",C34+D34)</f>
        <v/>
      </c>
      <c r="F34" s="30"/>
      <c r="G34" s="30"/>
      <c r="H34" s="30" t="str">
        <f aca="false">IF(F34="","",F34-N(G34))</f>
        <v/>
      </c>
      <c r="I34" s="31" t="str">
        <f aca="false">IF(OR(H34="",E34=""),"",IF(H34&lt;=0,0,MAX(0,'Aging Summary'!$Z$1-E34)))</f>
        <v/>
      </c>
      <c r="J34" s="28" t="str">
        <f aca="false">IF(H34="","",IF(H34&lt;=0,"Paid",IF(OR(I34="",I34=0),"Current",IF(I34&lt;=30,"Up to one month past due",IF(I34&lt;=60,"One to two months past due",IF(I34&lt;=90,"Two to three months past due","Over three months past due"))))))</f>
        <v/>
      </c>
      <c r="K34" s="28" t="str">
        <f aca="false">IF(J34="","",IF(J34="Paid","None: closed",IF(J34="Current","Schedule for next payment run",IF(J34="Up to one month past due","Pay this week",IF(J34="One to two months past due","Contact vendor and confirm balance","Escalate and check for dispute")))))</f>
        <v/>
      </c>
      <c r="L34" s="28"/>
    </row>
    <row r="35" customFormat="false" ht="15" hidden="false" customHeight="false" outlineLevel="0" collapsed="false">
      <c r="A35" s="24"/>
      <c r="B35" s="24"/>
      <c r="C35" s="25"/>
      <c r="D35" s="24"/>
      <c r="E35" s="25" t="str">
        <f aca="false">IF(OR(C35="",D35=""),"",C35+D35)</f>
        <v/>
      </c>
      <c r="F35" s="26"/>
      <c r="G35" s="26"/>
      <c r="H35" s="26" t="str">
        <f aca="false">IF(F35="","",F35-N(G35))</f>
        <v/>
      </c>
      <c r="I35" s="27" t="str">
        <f aca="false">IF(OR(H35="",E35=""),"",IF(H35&lt;=0,0,MAX(0,'Aging Summary'!$Z$1-E35)))</f>
        <v/>
      </c>
      <c r="J35" s="24" t="str">
        <f aca="false">IF(H35="","",IF(H35&lt;=0,"Paid",IF(OR(I35="",I35=0),"Current",IF(I35&lt;=30,"Up to one month past due",IF(I35&lt;=60,"One to two months past due",IF(I35&lt;=90,"Two to three months past due","Over three months past due"))))))</f>
        <v/>
      </c>
      <c r="K35" s="24" t="str">
        <f aca="false">IF(J35="","",IF(J35="Paid","None: closed",IF(J35="Current","Schedule for next payment run",IF(J35="Up to one month past due","Pay this week",IF(J35="One to two months past due","Contact vendor and confirm balance","Escalate and check for dispute")))))</f>
        <v/>
      </c>
      <c r="L35" s="24"/>
    </row>
    <row r="36" customFormat="false" ht="15" hidden="false" customHeight="false" outlineLevel="0" collapsed="false">
      <c r="A36" s="28"/>
      <c r="B36" s="28"/>
      <c r="C36" s="29"/>
      <c r="D36" s="28"/>
      <c r="E36" s="29" t="str">
        <f aca="false">IF(OR(C36="",D36=""),"",C36+D36)</f>
        <v/>
      </c>
      <c r="F36" s="30"/>
      <c r="G36" s="30"/>
      <c r="H36" s="30" t="str">
        <f aca="false">IF(F36="","",F36-N(G36))</f>
        <v/>
      </c>
      <c r="I36" s="31" t="str">
        <f aca="false">IF(OR(H36="",E36=""),"",IF(H36&lt;=0,0,MAX(0,'Aging Summary'!$Z$1-E36)))</f>
        <v/>
      </c>
      <c r="J36" s="28" t="str">
        <f aca="false">IF(H36="","",IF(H36&lt;=0,"Paid",IF(OR(I36="",I36=0),"Current",IF(I36&lt;=30,"Up to one month past due",IF(I36&lt;=60,"One to two months past due",IF(I36&lt;=90,"Two to three months past due","Over three months past due"))))))</f>
        <v/>
      </c>
      <c r="K36" s="28" t="str">
        <f aca="false">IF(J36="","",IF(J36="Paid","None: closed",IF(J36="Current","Schedule for next payment run",IF(J36="Up to one month past due","Pay this week",IF(J36="One to two months past due","Contact vendor and confirm balance","Escalate and check for dispute")))))</f>
        <v/>
      </c>
      <c r="L36" s="28"/>
    </row>
    <row r="37" customFormat="false" ht="15" hidden="false" customHeight="false" outlineLevel="0" collapsed="false">
      <c r="A37" s="24"/>
      <c r="B37" s="24"/>
      <c r="C37" s="25"/>
      <c r="D37" s="24"/>
      <c r="E37" s="25" t="str">
        <f aca="false">IF(OR(C37="",D37=""),"",C37+D37)</f>
        <v/>
      </c>
      <c r="F37" s="26"/>
      <c r="G37" s="26"/>
      <c r="H37" s="26" t="str">
        <f aca="false">IF(F37="","",F37-N(G37))</f>
        <v/>
      </c>
      <c r="I37" s="27" t="str">
        <f aca="false">IF(OR(H37="",E37=""),"",IF(H37&lt;=0,0,MAX(0,'Aging Summary'!$Z$1-E37)))</f>
        <v/>
      </c>
      <c r="J37" s="24" t="str">
        <f aca="false">IF(H37="","",IF(H37&lt;=0,"Paid",IF(OR(I37="",I37=0),"Current",IF(I37&lt;=30,"Up to one month past due",IF(I37&lt;=60,"One to two months past due",IF(I37&lt;=90,"Two to three months past due","Over three months past due"))))))</f>
        <v/>
      </c>
      <c r="K37" s="24" t="str">
        <f aca="false">IF(J37="","",IF(J37="Paid","None: closed",IF(J37="Current","Schedule for next payment run",IF(J37="Up to one month past due","Pay this week",IF(J37="One to two months past due","Contact vendor and confirm balance","Escalate and check for dispute")))))</f>
        <v/>
      </c>
      <c r="L37" s="24"/>
    </row>
    <row r="38" customFormat="false" ht="15" hidden="false" customHeight="false" outlineLevel="0" collapsed="false">
      <c r="A38" s="28"/>
      <c r="B38" s="28"/>
      <c r="C38" s="29"/>
      <c r="D38" s="28"/>
      <c r="E38" s="29" t="str">
        <f aca="false">IF(OR(C38="",D38=""),"",C38+D38)</f>
        <v/>
      </c>
      <c r="F38" s="30"/>
      <c r="G38" s="30"/>
      <c r="H38" s="30" t="str">
        <f aca="false">IF(F38="","",F38-N(G38))</f>
        <v/>
      </c>
      <c r="I38" s="31" t="str">
        <f aca="false">IF(OR(H38="",E38=""),"",IF(H38&lt;=0,0,MAX(0,'Aging Summary'!$Z$1-E38)))</f>
        <v/>
      </c>
      <c r="J38" s="28" t="str">
        <f aca="false">IF(H38="","",IF(H38&lt;=0,"Paid",IF(OR(I38="",I38=0),"Current",IF(I38&lt;=30,"Up to one month past due",IF(I38&lt;=60,"One to two months past due",IF(I38&lt;=90,"Two to three months past due","Over three months past due"))))))</f>
        <v/>
      </c>
      <c r="K38" s="28" t="str">
        <f aca="false">IF(J38="","",IF(J38="Paid","None: closed",IF(J38="Current","Schedule for next payment run",IF(J38="Up to one month past due","Pay this week",IF(J38="One to two months past due","Contact vendor and confirm balance","Escalate and check for dispute")))))</f>
        <v/>
      </c>
      <c r="L38" s="28"/>
    </row>
    <row r="39" customFormat="false" ht="15" hidden="false" customHeight="false" outlineLevel="0" collapsed="false">
      <c r="A39" s="24"/>
      <c r="B39" s="24"/>
      <c r="C39" s="25"/>
      <c r="D39" s="24"/>
      <c r="E39" s="25" t="str">
        <f aca="false">IF(OR(C39="",D39=""),"",C39+D39)</f>
        <v/>
      </c>
      <c r="F39" s="26"/>
      <c r="G39" s="26"/>
      <c r="H39" s="26" t="str">
        <f aca="false">IF(F39="","",F39-N(G39))</f>
        <v/>
      </c>
      <c r="I39" s="27" t="str">
        <f aca="false">IF(OR(H39="",E39=""),"",IF(H39&lt;=0,0,MAX(0,'Aging Summary'!$Z$1-E39)))</f>
        <v/>
      </c>
      <c r="J39" s="24" t="str">
        <f aca="false">IF(H39="","",IF(H39&lt;=0,"Paid",IF(OR(I39="",I39=0),"Current",IF(I39&lt;=30,"Up to one month past due",IF(I39&lt;=60,"One to two months past due",IF(I39&lt;=90,"Two to three months past due","Over three months past due"))))))</f>
        <v/>
      </c>
      <c r="K39" s="24" t="str">
        <f aca="false">IF(J39="","",IF(J39="Paid","None: closed",IF(J39="Current","Schedule for next payment run",IF(J39="Up to one month past due","Pay this week",IF(J39="One to two months past due","Contact vendor and confirm balance","Escalate and check for dispute")))))</f>
        <v/>
      </c>
      <c r="L39" s="24"/>
    </row>
    <row r="40" customFormat="false" ht="15" hidden="false" customHeight="false" outlineLevel="0" collapsed="false">
      <c r="A40" s="28"/>
      <c r="B40" s="28"/>
      <c r="C40" s="29"/>
      <c r="D40" s="28"/>
      <c r="E40" s="29" t="str">
        <f aca="false">IF(OR(C40="",D40=""),"",C40+D40)</f>
        <v/>
      </c>
      <c r="F40" s="30"/>
      <c r="G40" s="30"/>
      <c r="H40" s="30" t="str">
        <f aca="false">IF(F40="","",F40-N(G40))</f>
        <v/>
      </c>
      <c r="I40" s="31" t="str">
        <f aca="false">IF(OR(H40="",E40=""),"",IF(H40&lt;=0,0,MAX(0,'Aging Summary'!$Z$1-E40)))</f>
        <v/>
      </c>
      <c r="J40" s="28" t="str">
        <f aca="false">IF(H40="","",IF(H40&lt;=0,"Paid",IF(OR(I40="",I40=0),"Current",IF(I40&lt;=30,"Up to one month past due",IF(I40&lt;=60,"One to two months past due",IF(I40&lt;=90,"Two to three months past due","Over three months past due"))))))</f>
        <v/>
      </c>
      <c r="K40" s="28" t="str">
        <f aca="false">IF(J40="","",IF(J40="Paid","None: closed",IF(J40="Current","Schedule for next payment run",IF(J40="Up to one month past due","Pay this week",IF(J40="One to two months past due","Contact vendor and confirm balance","Escalate and check for dispute")))))</f>
        <v/>
      </c>
      <c r="L40" s="28"/>
    </row>
    <row r="41" customFormat="false" ht="15" hidden="false" customHeight="false" outlineLevel="0" collapsed="false">
      <c r="A41" s="24"/>
      <c r="B41" s="24"/>
      <c r="C41" s="25"/>
      <c r="D41" s="24"/>
      <c r="E41" s="25" t="str">
        <f aca="false">IF(OR(C41="",D41=""),"",C41+D41)</f>
        <v/>
      </c>
      <c r="F41" s="26"/>
      <c r="G41" s="26"/>
      <c r="H41" s="26" t="str">
        <f aca="false">IF(F41="","",F41-N(G41))</f>
        <v/>
      </c>
      <c r="I41" s="27" t="str">
        <f aca="false">IF(OR(H41="",E41=""),"",IF(H41&lt;=0,0,MAX(0,'Aging Summary'!$Z$1-E41)))</f>
        <v/>
      </c>
      <c r="J41" s="24" t="str">
        <f aca="false">IF(H41="","",IF(H41&lt;=0,"Paid",IF(OR(I41="",I41=0),"Current",IF(I41&lt;=30,"Up to one month past due",IF(I41&lt;=60,"One to two months past due",IF(I41&lt;=90,"Two to three months past due","Over three months past due"))))))</f>
        <v/>
      </c>
      <c r="K41" s="24" t="str">
        <f aca="false">IF(J41="","",IF(J41="Paid","None: closed",IF(J41="Current","Schedule for next payment run",IF(J41="Up to one month past due","Pay this week",IF(J41="One to two months past due","Contact vendor and confirm balance","Escalate and check for dispute")))))</f>
        <v/>
      </c>
      <c r="L41" s="24"/>
    </row>
    <row r="42" customFormat="false" ht="15" hidden="false" customHeight="false" outlineLevel="0" collapsed="false">
      <c r="A42" s="28"/>
      <c r="B42" s="28"/>
      <c r="C42" s="29"/>
      <c r="D42" s="28"/>
      <c r="E42" s="29" t="str">
        <f aca="false">IF(OR(C42="",D42=""),"",C42+D42)</f>
        <v/>
      </c>
      <c r="F42" s="30"/>
      <c r="G42" s="30"/>
      <c r="H42" s="30" t="str">
        <f aca="false">IF(F42="","",F42-N(G42))</f>
        <v/>
      </c>
      <c r="I42" s="31" t="str">
        <f aca="false">IF(OR(H42="",E42=""),"",IF(H42&lt;=0,0,MAX(0,'Aging Summary'!$Z$1-E42)))</f>
        <v/>
      </c>
      <c r="J42" s="28" t="str">
        <f aca="false">IF(H42="","",IF(H42&lt;=0,"Paid",IF(OR(I42="",I42=0),"Current",IF(I42&lt;=30,"Up to one month past due",IF(I42&lt;=60,"One to two months past due",IF(I42&lt;=90,"Two to three months past due","Over three months past due"))))))</f>
        <v/>
      </c>
      <c r="K42" s="28" t="str">
        <f aca="false">IF(J42="","",IF(J42="Paid","None: closed",IF(J42="Current","Schedule for next payment run",IF(J42="Up to one month past due","Pay this week",IF(J42="One to two months past due","Contact vendor and confirm balance","Escalate and check for dispute")))))</f>
        <v/>
      </c>
      <c r="L42" s="28"/>
    </row>
    <row r="43" customFormat="false" ht="15" hidden="false" customHeight="false" outlineLevel="0" collapsed="false">
      <c r="A43" s="24"/>
      <c r="B43" s="24"/>
      <c r="C43" s="25"/>
      <c r="D43" s="24"/>
      <c r="E43" s="25" t="str">
        <f aca="false">IF(OR(C43="",D43=""),"",C43+D43)</f>
        <v/>
      </c>
      <c r="F43" s="26"/>
      <c r="G43" s="26"/>
      <c r="H43" s="26" t="str">
        <f aca="false">IF(F43="","",F43-N(G43))</f>
        <v/>
      </c>
      <c r="I43" s="27" t="str">
        <f aca="false">IF(OR(H43="",E43=""),"",IF(H43&lt;=0,0,MAX(0,'Aging Summary'!$Z$1-E43)))</f>
        <v/>
      </c>
      <c r="J43" s="24" t="str">
        <f aca="false">IF(H43="","",IF(H43&lt;=0,"Paid",IF(OR(I43="",I43=0),"Current",IF(I43&lt;=30,"Up to one month past due",IF(I43&lt;=60,"One to two months past due",IF(I43&lt;=90,"Two to three months past due","Over three months past due"))))))</f>
        <v/>
      </c>
      <c r="K43" s="24" t="str">
        <f aca="false">IF(J43="","",IF(J43="Paid","None: closed",IF(J43="Current","Schedule for next payment run",IF(J43="Up to one month past due","Pay this week",IF(J43="One to two months past due","Contact vendor and confirm balance","Escalate and check for dispute")))))</f>
        <v/>
      </c>
      <c r="L43" s="24"/>
    </row>
    <row r="44" customFormat="false" ht="15" hidden="false" customHeight="false" outlineLevel="0" collapsed="false">
      <c r="A44" s="28"/>
      <c r="B44" s="28"/>
      <c r="C44" s="29"/>
      <c r="D44" s="28"/>
      <c r="E44" s="29" t="str">
        <f aca="false">IF(OR(C44="",D44=""),"",C44+D44)</f>
        <v/>
      </c>
      <c r="F44" s="30"/>
      <c r="G44" s="30"/>
      <c r="H44" s="30" t="str">
        <f aca="false">IF(F44="","",F44-N(G44))</f>
        <v/>
      </c>
      <c r="I44" s="31" t="str">
        <f aca="false">IF(OR(H44="",E44=""),"",IF(H44&lt;=0,0,MAX(0,'Aging Summary'!$Z$1-E44)))</f>
        <v/>
      </c>
      <c r="J44" s="28" t="str">
        <f aca="false">IF(H44="","",IF(H44&lt;=0,"Paid",IF(OR(I44="",I44=0),"Current",IF(I44&lt;=30,"Up to one month past due",IF(I44&lt;=60,"One to two months past due",IF(I44&lt;=90,"Two to three months past due","Over three months past due"))))))</f>
        <v/>
      </c>
      <c r="K44" s="28" t="str">
        <f aca="false">IF(J44="","",IF(J44="Paid","None: closed",IF(J44="Current","Schedule for next payment run",IF(J44="Up to one month past due","Pay this week",IF(J44="One to two months past due","Contact vendor and confirm balance","Escalate and check for dispute")))))</f>
        <v/>
      </c>
      <c r="L44" s="28"/>
    </row>
    <row r="45" customFormat="false" ht="15" hidden="false" customHeight="false" outlineLevel="0" collapsed="false">
      <c r="A45" s="24"/>
      <c r="B45" s="24"/>
      <c r="C45" s="25"/>
      <c r="D45" s="24"/>
      <c r="E45" s="25" t="str">
        <f aca="false">IF(OR(C45="",D45=""),"",C45+D45)</f>
        <v/>
      </c>
      <c r="F45" s="26"/>
      <c r="G45" s="26"/>
      <c r="H45" s="26" t="str">
        <f aca="false">IF(F45="","",F45-N(G45))</f>
        <v/>
      </c>
      <c r="I45" s="27" t="str">
        <f aca="false">IF(OR(H45="",E45=""),"",IF(H45&lt;=0,0,MAX(0,'Aging Summary'!$Z$1-E45)))</f>
        <v/>
      </c>
      <c r="J45" s="24" t="str">
        <f aca="false">IF(H45="","",IF(H45&lt;=0,"Paid",IF(OR(I45="",I45=0),"Current",IF(I45&lt;=30,"Up to one month past due",IF(I45&lt;=60,"One to two months past due",IF(I45&lt;=90,"Two to three months past due","Over three months past due"))))))</f>
        <v/>
      </c>
      <c r="K45" s="24" t="str">
        <f aca="false">IF(J45="","",IF(J45="Paid","None: closed",IF(J45="Current","Schedule for next payment run",IF(J45="Up to one month past due","Pay this week",IF(J45="One to two months past due","Contact vendor and confirm balance","Escalate and check for dispute")))))</f>
        <v/>
      </c>
      <c r="L45" s="24"/>
    </row>
    <row r="46" customFormat="false" ht="15" hidden="false" customHeight="false" outlineLevel="0" collapsed="false">
      <c r="A46" s="28"/>
      <c r="B46" s="28"/>
      <c r="C46" s="29"/>
      <c r="D46" s="28"/>
      <c r="E46" s="29" t="str">
        <f aca="false">IF(OR(C46="",D46=""),"",C46+D46)</f>
        <v/>
      </c>
      <c r="F46" s="30"/>
      <c r="G46" s="30"/>
      <c r="H46" s="30" t="str">
        <f aca="false">IF(F46="","",F46-N(G46))</f>
        <v/>
      </c>
      <c r="I46" s="31" t="str">
        <f aca="false">IF(OR(H46="",E46=""),"",IF(H46&lt;=0,0,MAX(0,'Aging Summary'!$Z$1-E46)))</f>
        <v/>
      </c>
      <c r="J46" s="28" t="str">
        <f aca="false">IF(H46="","",IF(H46&lt;=0,"Paid",IF(OR(I46="",I46=0),"Current",IF(I46&lt;=30,"Up to one month past due",IF(I46&lt;=60,"One to two months past due",IF(I46&lt;=90,"Two to three months past due","Over three months past due"))))))</f>
        <v/>
      </c>
      <c r="K46" s="28" t="str">
        <f aca="false">IF(J46="","",IF(J46="Paid","None: closed",IF(J46="Current","Schedule for next payment run",IF(J46="Up to one month past due","Pay this week",IF(J46="One to two months past due","Contact vendor and confirm balance","Escalate and check for dispute")))))</f>
        <v/>
      </c>
      <c r="L46" s="28"/>
    </row>
    <row r="47" customFormat="false" ht="15" hidden="false" customHeight="false" outlineLevel="0" collapsed="false">
      <c r="A47" s="24"/>
      <c r="B47" s="24"/>
      <c r="C47" s="25"/>
      <c r="D47" s="24"/>
      <c r="E47" s="25" t="str">
        <f aca="false">IF(OR(C47="",D47=""),"",C47+D47)</f>
        <v/>
      </c>
      <c r="F47" s="26"/>
      <c r="G47" s="26"/>
      <c r="H47" s="26" t="str">
        <f aca="false">IF(F47="","",F47-N(G47))</f>
        <v/>
      </c>
      <c r="I47" s="27" t="str">
        <f aca="false">IF(OR(H47="",E47=""),"",IF(H47&lt;=0,0,MAX(0,'Aging Summary'!$Z$1-E47)))</f>
        <v/>
      </c>
      <c r="J47" s="24" t="str">
        <f aca="false">IF(H47="","",IF(H47&lt;=0,"Paid",IF(OR(I47="",I47=0),"Current",IF(I47&lt;=30,"Up to one month past due",IF(I47&lt;=60,"One to two months past due",IF(I47&lt;=90,"Two to three months past due","Over three months past due"))))))</f>
        <v/>
      </c>
      <c r="K47" s="24" t="str">
        <f aca="false">IF(J47="","",IF(J47="Paid","None: closed",IF(J47="Current","Schedule for next payment run",IF(J47="Up to one month past due","Pay this week",IF(J47="One to two months past due","Contact vendor and confirm balance","Escalate and check for dispute")))))</f>
        <v/>
      </c>
      <c r="L47" s="24"/>
    </row>
    <row r="48" customFormat="false" ht="15" hidden="false" customHeight="false" outlineLevel="0" collapsed="false">
      <c r="A48" s="28"/>
      <c r="B48" s="28"/>
      <c r="C48" s="29"/>
      <c r="D48" s="28"/>
      <c r="E48" s="29" t="str">
        <f aca="false">IF(OR(C48="",D48=""),"",C48+D48)</f>
        <v/>
      </c>
      <c r="F48" s="30"/>
      <c r="G48" s="30"/>
      <c r="H48" s="30" t="str">
        <f aca="false">IF(F48="","",F48-N(G48))</f>
        <v/>
      </c>
      <c r="I48" s="31" t="str">
        <f aca="false">IF(OR(H48="",E48=""),"",IF(H48&lt;=0,0,MAX(0,'Aging Summary'!$Z$1-E48)))</f>
        <v/>
      </c>
      <c r="J48" s="28" t="str">
        <f aca="false">IF(H48="","",IF(H48&lt;=0,"Paid",IF(OR(I48="",I48=0),"Current",IF(I48&lt;=30,"Up to one month past due",IF(I48&lt;=60,"One to two months past due",IF(I48&lt;=90,"Two to three months past due","Over three months past due"))))))</f>
        <v/>
      </c>
      <c r="K48" s="28" t="str">
        <f aca="false">IF(J48="","",IF(J48="Paid","None: closed",IF(J48="Current","Schedule for next payment run",IF(J48="Up to one month past due","Pay this week",IF(J48="One to two months past due","Contact vendor and confirm balance","Escalate and check for dispute")))))</f>
        <v/>
      </c>
      <c r="L48" s="28"/>
    </row>
    <row r="49" customFormat="false" ht="15" hidden="false" customHeight="false" outlineLevel="0" collapsed="false">
      <c r="A49" s="24"/>
      <c r="B49" s="24"/>
      <c r="C49" s="25"/>
      <c r="D49" s="24"/>
      <c r="E49" s="25" t="str">
        <f aca="false">IF(OR(C49="",D49=""),"",C49+D49)</f>
        <v/>
      </c>
      <c r="F49" s="26"/>
      <c r="G49" s="26"/>
      <c r="H49" s="26" t="str">
        <f aca="false">IF(F49="","",F49-N(G49))</f>
        <v/>
      </c>
      <c r="I49" s="27" t="str">
        <f aca="false">IF(OR(H49="",E49=""),"",IF(H49&lt;=0,0,MAX(0,'Aging Summary'!$Z$1-E49)))</f>
        <v/>
      </c>
      <c r="J49" s="24" t="str">
        <f aca="false">IF(H49="","",IF(H49&lt;=0,"Paid",IF(OR(I49="",I49=0),"Current",IF(I49&lt;=30,"Up to one month past due",IF(I49&lt;=60,"One to two months past due",IF(I49&lt;=90,"Two to three months past due","Over three months past due"))))))</f>
        <v/>
      </c>
      <c r="K49" s="24" t="str">
        <f aca="false">IF(J49="","",IF(J49="Paid","None: closed",IF(J49="Current","Schedule for next payment run",IF(J49="Up to one month past due","Pay this week",IF(J49="One to two months past due","Contact vendor and confirm balance","Escalate and check for dispute")))))</f>
        <v/>
      </c>
      <c r="L49" s="24"/>
    </row>
    <row r="50" customFormat="false" ht="15" hidden="false" customHeight="false" outlineLevel="0" collapsed="false">
      <c r="A50" s="28"/>
      <c r="B50" s="28"/>
      <c r="C50" s="29"/>
      <c r="D50" s="28"/>
      <c r="E50" s="29" t="str">
        <f aca="false">IF(OR(C50="",D50=""),"",C50+D50)</f>
        <v/>
      </c>
      <c r="F50" s="30"/>
      <c r="G50" s="30"/>
      <c r="H50" s="30" t="str">
        <f aca="false">IF(F50="","",F50-N(G50))</f>
        <v/>
      </c>
      <c r="I50" s="31" t="str">
        <f aca="false">IF(OR(H50="",E50=""),"",IF(H50&lt;=0,0,MAX(0,'Aging Summary'!$Z$1-E50)))</f>
        <v/>
      </c>
      <c r="J50" s="28" t="str">
        <f aca="false">IF(H50="","",IF(H50&lt;=0,"Paid",IF(OR(I50="",I50=0),"Current",IF(I50&lt;=30,"Up to one month past due",IF(I50&lt;=60,"One to two months past due",IF(I50&lt;=90,"Two to three months past due","Over three months past due"))))))</f>
        <v/>
      </c>
      <c r="K50" s="28" t="str">
        <f aca="false">IF(J50="","",IF(J50="Paid","None: closed",IF(J50="Current","Schedule for next payment run",IF(J50="Up to one month past due","Pay this week",IF(J50="One to two months past due","Contact vendor and confirm balance","Escalate and check for dispute")))))</f>
        <v/>
      </c>
      <c r="L50" s="28"/>
    </row>
    <row r="51" customFormat="false" ht="15" hidden="false" customHeight="false" outlineLevel="0" collapsed="false">
      <c r="A51" s="24"/>
      <c r="B51" s="24"/>
      <c r="C51" s="25"/>
      <c r="D51" s="24"/>
      <c r="E51" s="25" t="str">
        <f aca="false">IF(OR(C51="",D51=""),"",C51+D51)</f>
        <v/>
      </c>
      <c r="F51" s="26"/>
      <c r="G51" s="26"/>
      <c r="H51" s="26" t="str">
        <f aca="false">IF(F51="","",F51-N(G51))</f>
        <v/>
      </c>
      <c r="I51" s="27" t="str">
        <f aca="false">IF(OR(H51="",E51=""),"",IF(H51&lt;=0,0,MAX(0,'Aging Summary'!$Z$1-E51)))</f>
        <v/>
      </c>
      <c r="J51" s="24" t="str">
        <f aca="false">IF(H51="","",IF(H51&lt;=0,"Paid",IF(OR(I51="",I51=0),"Current",IF(I51&lt;=30,"Up to one month past due",IF(I51&lt;=60,"One to two months past due",IF(I51&lt;=90,"Two to three months past due","Over three months past due"))))))</f>
        <v/>
      </c>
      <c r="K51" s="24" t="str">
        <f aca="false">IF(J51="","",IF(J51="Paid","None: closed",IF(J51="Current","Schedule for next payment run",IF(J51="Up to one month past due","Pay this week",IF(J51="One to two months past due","Contact vendor and confirm balance","Escalate and check for dispute")))))</f>
        <v/>
      </c>
      <c r="L51" s="24"/>
    </row>
    <row r="52" customFormat="false" ht="15" hidden="false" customHeight="false" outlineLevel="0" collapsed="false">
      <c r="A52" s="28"/>
      <c r="B52" s="28"/>
      <c r="C52" s="29"/>
      <c r="D52" s="28"/>
      <c r="E52" s="29" t="str">
        <f aca="false">IF(OR(C52="",D52=""),"",C52+D52)</f>
        <v/>
      </c>
      <c r="F52" s="30"/>
      <c r="G52" s="30"/>
      <c r="H52" s="30" t="str">
        <f aca="false">IF(F52="","",F52-N(G52))</f>
        <v/>
      </c>
      <c r="I52" s="31" t="str">
        <f aca="false">IF(OR(H52="",E52=""),"",IF(H52&lt;=0,0,MAX(0,'Aging Summary'!$Z$1-E52)))</f>
        <v/>
      </c>
      <c r="J52" s="28" t="str">
        <f aca="false">IF(H52="","",IF(H52&lt;=0,"Paid",IF(OR(I52="",I52=0),"Current",IF(I52&lt;=30,"Up to one month past due",IF(I52&lt;=60,"One to two months past due",IF(I52&lt;=90,"Two to three months past due","Over three months past due"))))))</f>
        <v/>
      </c>
      <c r="K52" s="28" t="str">
        <f aca="false">IF(J52="","",IF(J52="Paid","None: closed",IF(J52="Current","Schedule for next payment run",IF(J52="Up to one month past due","Pay this week",IF(J52="One to two months past due","Contact vendor and confirm balance","Escalate and check for dispute")))))</f>
        <v/>
      </c>
      <c r="L52" s="28"/>
    </row>
    <row r="53" customFormat="false" ht="15" hidden="false" customHeight="false" outlineLevel="0" collapsed="false">
      <c r="A53" s="24"/>
      <c r="B53" s="24"/>
      <c r="C53" s="25"/>
      <c r="D53" s="24"/>
      <c r="E53" s="25" t="str">
        <f aca="false">IF(OR(C53="",D53=""),"",C53+D53)</f>
        <v/>
      </c>
      <c r="F53" s="26"/>
      <c r="G53" s="26"/>
      <c r="H53" s="26" t="str">
        <f aca="false">IF(F53="","",F53-N(G53))</f>
        <v/>
      </c>
      <c r="I53" s="27" t="str">
        <f aca="false">IF(OR(H53="",E53=""),"",IF(H53&lt;=0,0,MAX(0,'Aging Summary'!$Z$1-E53)))</f>
        <v/>
      </c>
      <c r="J53" s="24" t="str">
        <f aca="false">IF(H53="","",IF(H53&lt;=0,"Paid",IF(OR(I53="",I53=0),"Current",IF(I53&lt;=30,"Up to one month past due",IF(I53&lt;=60,"One to two months past due",IF(I53&lt;=90,"Two to three months past due","Over three months past due"))))))</f>
        <v/>
      </c>
      <c r="K53" s="24" t="str">
        <f aca="false">IF(J53="","",IF(J53="Paid","None: closed",IF(J53="Current","Schedule for next payment run",IF(J53="Up to one month past due","Pay this week",IF(J53="One to two months past due","Contact vendor and confirm balance","Escalate and check for dispute")))))</f>
        <v/>
      </c>
      <c r="L53" s="24"/>
    </row>
    <row r="54" customFormat="false" ht="15" hidden="false" customHeight="false" outlineLevel="0" collapsed="false">
      <c r="A54" s="28"/>
      <c r="B54" s="28"/>
      <c r="C54" s="29"/>
      <c r="D54" s="28"/>
      <c r="E54" s="29" t="str">
        <f aca="false">IF(OR(C54="",D54=""),"",C54+D54)</f>
        <v/>
      </c>
      <c r="F54" s="30"/>
      <c r="G54" s="30"/>
      <c r="H54" s="30" t="str">
        <f aca="false">IF(F54="","",F54-N(G54))</f>
        <v/>
      </c>
      <c r="I54" s="31" t="str">
        <f aca="false">IF(OR(H54="",E54=""),"",IF(H54&lt;=0,0,MAX(0,'Aging Summary'!$Z$1-E54)))</f>
        <v/>
      </c>
      <c r="J54" s="28" t="str">
        <f aca="false">IF(H54="","",IF(H54&lt;=0,"Paid",IF(OR(I54="",I54=0),"Current",IF(I54&lt;=30,"Up to one month past due",IF(I54&lt;=60,"One to two months past due",IF(I54&lt;=90,"Two to three months past due","Over three months past due"))))))</f>
        <v/>
      </c>
      <c r="K54" s="28" t="str">
        <f aca="false">IF(J54="","",IF(J54="Paid","None: closed",IF(J54="Current","Schedule for next payment run",IF(J54="Up to one month past due","Pay this week",IF(J54="One to two months past due","Contact vendor and confirm balance","Escalate and check for dispute")))))</f>
        <v/>
      </c>
      <c r="L54" s="28"/>
    </row>
    <row r="55" customFormat="false" ht="15" hidden="false" customHeight="false" outlineLevel="0" collapsed="false">
      <c r="A55" s="24"/>
      <c r="B55" s="24"/>
      <c r="C55" s="25"/>
      <c r="D55" s="24"/>
      <c r="E55" s="25" t="str">
        <f aca="false">IF(OR(C55="",D55=""),"",C55+D55)</f>
        <v/>
      </c>
      <c r="F55" s="26"/>
      <c r="G55" s="26"/>
      <c r="H55" s="26" t="str">
        <f aca="false">IF(F55="","",F55-N(G55))</f>
        <v/>
      </c>
      <c r="I55" s="27" t="str">
        <f aca="false">IF(OR(H55="",E55=""),"",IF(H55&lt;=0,0,MAX(0,'Aging Summary'!$Z$1-E55)))</f>
        <v/>
      </c>
      <c r="J55" s="24" t="str">
        <f aca="false">IF(H55="","",IF(H55&lt;=0,"Paid",IF(OR(I55="",I55=0),"Current",IF(I55&lt;=30,"Up to one month past due",IF(I55&lt;=60,"One to two months past due",IF(I55&lt;=90,"Two to three months past due","Over three months past due"))))))</f>
        <v/>
      </c>
      <c r="K55" s="24" t="str">
        <f aca="false">IF(J55="","",IF(J55="Paid","None: closed",IF(J55="Current","Schedule for next payment run",IF(J55="Up to one month past due","Pay this week",IF(J55="One to two months past due","Contact vendor and confirm balance","Escalate and check for dispute")))))</f>
        <v/>
      </c>
      <c r="L55" s="24"/>
    </row>
    <row r="56" customFormat="false" ht="15" hidden="false" customHeight="false" outlineLevel="0" collapsed="false">
      <c r="A56" s="28"/>
      <c r="B56" s="28"/>
      <c r="C56" s="29"/>
      <c r="D56" s="28"/>
      <c r="E56" s="29" t="str">
        <f aca="false">IF(OR(C56="",D56=""),"",C56+D56)</f>
        <v/>
      </c>
      <c r="F56" s="30"/>
      <c r="G56" s="30"/>
      <c r="H56" s="30" t="str">
        <f aca="false">IF(F56="","",F56-N(G56))</f>
        <v/>
      </c>
      <c r="I56" s="31" t="str">
        <f aca="false">IF(OR(H56="",E56=""),"",IF(H56&lt;=0,0,MAX(0,'Aging Summary'!$Z$1-E56)))</f>
        <v/>
      </c>
      <c r="J56" s="28" t="str">
        <f aca="false">IF(H56="","",IF(H56&lt;=0,"Paid",IF(OR(I56="",I56=0),"Current",IF(I56&lt;=30,"Up to one month past due",IF(I56&lt;=60,"One to two months past due",IF(I56&lt;=90,"Two to three months past due","Over three months past due"))))))</f>
        <v/>
      </c>
      <c r="K56" s="28" t="str">
        <f aca="false">IF(J56="","",IF(J56="Paid","None: closed",IF(J56="Current","Schedule for next payment run",IF(J56="Up to one month past due","Pay this week",IF(J56="One to two months past due","Contact vendor and confirm balance","Escalate and check for dispute")))))</f>
        <v/>
      </c>
      <c r="L56" s="28"/>
    </row>
    <row r="57" customFormat="false" ht="15" hidden="false" customHeight="false" outlineLevel="0" collapsed="false">
      <c r="A57" s="24"/>
      <c r="B57" s="24"/>
      <c r="C57" s="25"/>
      <c r="D57" s="24"/>
      <c r="E57" s="25" t="str">
        <f aca="false">IF(OR(C57="",D57=""),"",C57+D57)</f>
        <v/>
      </c>
      <c r="F57" s="26"/>
      <c r="G57" s="26"/>
      <c r="H57" s="26" t="str">
        <f aca="false">IF(F57="","",F57-N(G57))</f>
        <v/>
      </c>
      <c r="I57" s="27" t="str">
        <f aca="false">IF(OR(H57="",E57=""),"",IF(H57&lt;=0,0,MAX(0,'Aging Summary'!$Z$1-E57)))</f>
        <v/>
      </c>
      <c r="J57" s="24" t="str">
        <f aca="false">IF(H57="","",IF(H57&lt;=0,"Paid",IF(OR(I57="",I57=0),"Current",IF(I57&lt;=30,"Up to one month past due",IF(I57&lt;=60,"One to two months past due",IF(I57&lt;=90,"Two to three months past due","Over three months past due"))))))</f>
        <v/>
      </c>
      <c r="K57" s="24" t="str">
        <f aca="false">IF(J57="","",IF(J57="Paid","None: closed",IF(J57="Current","Schedule for next payment run",IF(J57="Up to one month past due","Pay this week",IF(J57="One to two months past due","Contact vendor and confirm balance","Escalate and check for dispute")))))</f>
        <v/>
      </c>
      <c r="L57" s="24"/>
    </row>
    <row r="58" customFormat="false" ht="15" hidden="false" customHeight="false" outlineLevel="0" collapsed="false">
      <c r="A58" s="28"/>
      <c r="B58" s="28"/>
      <c r="C58" s="29"/>
      <c r="D58" s="28"/>
      <c r="E58" s="29" t="str">
        <f aca="false">IF(OR(C58="",D58=""),"",C58+D58)</f>
        <v/>
      </c>
      <c r="F58" s="30"/>
      <c r="G58" s="30"/>
      <c r="H58" s="30" t="str">
        <f aca="false">IF(F58="","",F58-N(G58))</f>
        <v/>
      </c>
      <c r="I58" s="31" t="str">
        <f aca="false">IF(OR(H58="",E58=""),"",IF(H58&lt;=0,0,MAX(0,'Aging Summary'!$Z$1-E58)))</f>
        <v/>
      </c>
      <c r="J58" s="28" t="str">
        <f aca="false">IF(H58="","",IF(H58&lt;=0,"Paid",IF(OR(I58="",I58=0),"Current",IF(I58&lt;=30,"Up to one month past due",IF(I58&lt;=60,"One to two months past due",IF(I58&lt;=90,"Two to three months past due","Over three months past due"))))))</f>
        <v/>
      </c>
      <c r="K58" s="28" t="str">
        <f aca="false">IF(J58="","",IF(J58="Paid","None: closed",IF(J58="Current","Schedule for next payment run",IF(J58="Up to one month past due","Pay this week",IF(J58="One to two months past due","Contact vendor and confirm balance","Escalate and check for dispute")))))</f>
        <v/>
      </c>
      <c r="L58" s="28"/>
    </row>
    <row r="59" customFormat="false" ht="15" hidden="false" customHeight="false" outlineLevel="0" collapsed="false">
      <c r="A59" s="24"/>
      <c r="B59" s="24"/>
      <c r="C59" s="25"/>
      <c r="D59" s="24"/>
      <c r="E59" s="25" t="str">
        <f aca="false">IF(OR(C59="",D59=""),"",C59+D59)</f>
        <v/>
      </c>
      <c r="F59" s="26"/>
      <c r="G59" s="26"/>
      <c r="H59" s="26" t="str">
        <f aca="false">IF(F59="","",F59-N(G59))</f>
        <v/>
      </c>
      <c r="I59" s="27" t="str">
        <f aca="false">IF(OR(H59="",E59=""),"",IF(H59&lt;=0,0,MAX(0,'Aging Summary'!$Z$1-E59)))</f>
        <v/>
      </c>
      <c r="J59" s="24" t="str">
        <f aca="false">IF(H59="","",IF(H59&lt;=0,"Paid",IF(OR(I59="",I59=0),"Current",IF(I59&lt;=30,"Up to one month past due",IF(I59&lt;=60,"One to two months past due",IF(I59&lt;=90,"Two to three months past due","Over three months past due"))))))</f>
        <v/>
      </c>
      <c r="K59" s="24" t="str">
        <f aca="false">IF(J59="","",IF(J59="Paid","None: closed",IF(J59="Current","Schedule for next payment run",IF(J59="Up to one month past due","Pay this week",IF(J59="One to two months past due","Contact vendor and confirm balance","Escalate and check for dispute")))))</f>
        <v/>
      </c>
      <c r="L59" s="24"/>
    </row>
    <row r="60" customFormat="false" ht="15" hidden="false" customHeight="false" outlineLevel="0" collapsed="false">
      <c r="A60" s="28"/>
      <c r="B60" s="28"/>
      <c r="C60" s="29"/>
      <c r="D60" s="28"/>
      <c r="E60" s="29" t="str">
        <f aca="false">IF(OR(C60="",D60=""),"",C60+D60)</f>
        <v/>
      </c>
      <c r="F60" s="30"/>
      <c r="G60" s="30"/>
      <c r="H60" s="30" t="str">
        <f aca="false">IF(F60="","",F60-N(G60))</f>
        <v/>
      </c>
      <c r="I60" s="31" t="str">
        <f aca="false">IF(OR(H60="",E60=""),"",IF(H60&lt;=0,0,MAX(0,'Aging Summary'!$Z$1-E60)))</f>
        <v/>
      </c>
      <c r="J60" s="28" t="str">
        <f aca="false">IF(H60="","",IF(H60&lt;=0,"Paid",IF(OR(I60="",I60=0),"Current",IF(I60&lt;=30,"Up to one month past due",IF(I60&lt;=60,"One to two months past due",IF(I60&lt;=90,"Two to three months past due","Over three months past due"))))))</f>
        <v/>
      </c>
      <c r="K60" s="28" t="str">
        <f aca="false">IF(J60="","",IF(J60="Paid","None: closed",IF(J60="Current","Schedule for next payment run",IF(J60="Up to one month past due","Pay this week",IF(J60="One to two months past due","Contact vendor and confirm balance","Escalate and check for dispute")))))</f>
        <v/>
      </c>
      <c r="L60" s="28"/>
    </row>
    <row r="61" customFormat="false" ht="15" hidden="false" customHeight="false" outlineLevel="0" collapsed="false">
      <c r="A61" s="24"/>
      <c r="B61" s="24"/>
      <c r="C61" s="25"/>
      <c r="D61" s="24"/>
      <c r="E61" s="25" t="str">
        <f aca="false">IF(OR(C61="",D61=""),"",C61+D61)</f>
        <v/>
      </c>
      <c r="F61" s="26"/>
      <c r="G61" s="26"/>
      <c r="H61" s="26" t="str">
        <f aca="false">IF(F61="","",F61-N(G61))</f>
        <v/>
      </c>
      <c r="I61" s="27" t="str">
        <f aca="false">IF(OR(H61="",E61=""),"",IF(H61&lt;=0,0,MAX(0,'Aging Summary'!$Z$1-E61)))</f>
        <v/>
      </c>
      <c r="J61" s="24" t="str">
        <f aca="false">IF(H61="","",IF(H61&lt;=0,"Paid",IF(OR(I61="",I61=0),"Current",IF(I61&lt;=30,"Up to one month past due",IF(I61&lt;=60,"One to two months past due",IF(I61&lt;=90,"Two to three months past due","Over three months past due"))))))</f>
        <v/>
      </c>
      <c r="K61" s="24" t="str">
        <f aca="false">IF(J61="","",IF(J61="Paid","None: closed",IF(J61="Current","Schedule for next payment run",IF(J61="Up to one month past due","Pay this week",IF(J61="One to two months past due","Contact vendor and confirm balance","Escalate and check for dispute")))))</f>
        <v/>
      </c>
      <c r="L61" s="24"/>
    </row>
    <row r="62" customFormat="false" ht="15" hidden="false" customHeight="false" outlineLevel="0" collapsed="false">
      <c r="A62" s="28"/>
      <c r="B62" s="28"/>
      <c r="C62" s="29"/>
      <c r="D62" s="28"/>
      <c r="E62" s="29" t="str">
        <f aca="false">IF(OR(C62="",D62=""),"",C62+D62)</f>
        <v/>
      </c>
      <c r="F62" s="30"/>
      <c r="G62" s="30"/>
      <c r="H62" s="30" t="str">
        <f aca="false">IF(F62="","",F62-N(G62))</f>
        <v/>
      </c>
      <c r="I62" s="31" t="str">
        <f aca="false">IF(OR(H62="",E62=""),"",IF(H62&lt;=0,0,MAX(0,'Aging Summary'!$Z$1-E62)))</f>
        <v/>
      </c>
      <c r="J62" s="28" t="str">
        <f aca="false">IF(H62="","",IF(H62&lt;=0,"Paid",IF(OR(I62="",I62=0),"Current",IF(I62&lt;=30,"Up to one month past due",IF(I62&lt;=60,"One to two months past due",IF(I62&lt;=90,"Two to three months past due","Over three months past due"))))))</f>
        <v/>
      </c>
      <c r="K62" s="28" t="str">
        <f aca="false">IF(J62="","",IF(J62="Paid","None: closed",IF(J62="Current","Schedule for next payment run",IF(J62="Up to one month past due","Pay this week",IF(J62="One to two months past due","Contact vendor and confirm balance","Escalate and check for dispute")))))</f>
        <v/>
      </c>
      <c r="L62" s="28"/>
    </row>
    <row r="63" customFormat="false" ht="15" hidden="false" customHeight="false" outlineLevel="0" collapsed="false">
      <c r="A63" s="24"/>
      <c r="B63" s="24"/>
      <c r="C63" s="25"/>
      <c r="D63" s="24"/>
      <c r="E63" s="25" t="str">
        <f aca="false">IF(OR(C63="",D63=""),"",C63+D63)</f>
        <v/>
      </c>
      <c r="F63" s="26"/>
      <c r="G63" s="26"/>
      <c r="H63" s="26" t="str">
        <f aca="false">IF(F63="","",F63-N(G63))</f>
        <v/>
      </c>
      <c r="I63" s="27" t="str">
        <f aca="false">IF(OR(H63="",E63=""),"",IF(H63&lt;=0,0,MAX(0,'Aging Summary'!$Z$1-E63)))</f>
        <v/>
      </c>
      <c r="J63" s="24" t="str">
        <f aca="false">IF(H63="","",IF(H63&lt;=0,"Paid",IF(OR(I63="",I63=0),"Current",IF(I63&lt;=30,"Up to one month past due",IF(I63&lt;=60,"One to two months past due",IF(I63&lt;=90,"Two to three months past due","Over three months past due"))))))</f>
        <v/>
      </c>
      <c r="K63" s="24" t="str">
        <f aca="false">IF(J63="","",IF(J63="Paid","None: closed",IF(J63="Current","Schedule for next payment run",IF(J63="Up to one month past due","Pay this week",IF(J63="One to two months past due","Contact vendor and confirm balance","Escalate and check for dispute")))))</f>
        <v/>
      </c>
      <c r="L63" s="24"/>
    </row>
    <row r="64" customFormat="false" ht="15" hidden="false" customHeight="false" outlineLevel="0" collapsed="false">
      <c r="A64" s="28"/>
      <c r="B64" s="28"/>
      <c r="C64" s="29"/>
      <c r="D64" s="28"/>
      <c r="E64" s="29" t="str">
        <f aca="false">IF(OR(C64="",D64=""),"",C64+D64)</f>
        <v/>
      </c>
      <c r="F64" s="30"/>
      <c r="G64" s="30"/>
      <c r="H64" s="30" t="str">
        <f aca="false">IF(F64="","",F64-N(G64))</f>
        <v/>
      </c>
      <c r="I64" s="31" t="str">
        <f aca="false">IF(OR(H64="",E64=""),"",IF(H64&lt;=0,0,MAX(0,'Aging Summary'!$Z$1-E64)))</f>
        <v/>
      </c>
      <c r="J64" s="28" t="str">
        <f aca="false">IF(H64="","",IF(H64&lt;=0,"Paid",IF(OR(I64="",I64=0),"Current",IF(I64&lt;=30,"Up to one month past due",IF(I64&lt;=60,"One to two months past due",IF(I64&lt;=90,"Two to three months past due","Over three months past due"))))))</f>
        <v/>
      </c>
      <c r="K64" s="28" t="str">
        <f aca="false">IF(J64="","",IF(J64="Paid","None: closed",IF(J64="Current","Schedule for next payment run",IF(J64="Up to one month past due","Pay this week",IF(J64="One to two months past due","Contact vendor and confirm balance","Escalate and check for dispute")))))</f>
        <v/>
      </c>
      <c r="L64" s="28"/>
    </row>
    <row r="65" customFormat="false" ht="15" hidden="false" customHeight="false" outlineLevel="0" collapsed="false">
      <c r="A65" s="24"/>
      <c r="B65" s="24"/>
      <c r="C65" s="25"/>
      <c r="D65" s="24"/>
      <c r="E65" s="25" t="str">
        <f aca="false">IF(OR(C65="",D65=""),"",C65+D65)</f>
        <v/>
      </c>
      <c r="F65" s="26"/>
      <c r="G65" s="26"/>
      <c r="H65" s="26" t="str">
        <f aca="false">IF(F65="","",F65-N(G65))</f>
        <v/>
      </c>
      <c r="I65" s="27" t="str">
        <f aca="false">IF(OR(H65="",E65=""),"",IF(H65&lt;=0,0,MAX(0,'Aging Summary'!$Z$1-E65)))</f>
        <v/>
      </c>
      <c r="J65" s="24" t="str">
        <f aca="false">IF(H65="","",IF(H65&lt;=0,"Paid",IF(OR(I65="",I65=0),"Current",IF(I65&lt;=30,"Up to one month past due",IF(I65&lt;=60,"One to two months past due",IF(I65&lt;=90,"Two to three months past due","Over three months past due"))))))</f>
        <v/>
      </c>
      <c r="K65" s="24" t="str">
        <f aca="false">IF(J65="","",IF(J65="Paid","None: closed",IF(J65="Current","Schedule for next payment run",IF(J65="Up to one month past due","Pay this week",IF(J65="One to two months past due","Contact vendor and confirm balance","Escalate and check for dispute")))))</f>
        <v/>
      </c>
      <c r="L65" s="24"/>
    </row>
    <row r="66" customFormat="false" ht="15" hidden="false" customHeight="false" outlineLevel="0" collapsed="false">
      <c r="A66" s="28"/>
      <c r="B66" s="28"/>
      <c r="C66" s="29"/>
      <c r="D66" s="28"/>
      <c r="E66" s="29" t="str">
        <f aca="false">IF(OR(C66="",D66=""),"",C66+D66)</f>
        <v/>
      </c>
      <c r="F66" s="30"/>
      <c r="G66" s="30"/>
      <c r="H66" s="30" t="str">
        <f aca="false">IF(F66="","",F66-N(G66))</f>
        <v/>
      </c>
      <c r="I66" s="31" t="str">
        <f aca="false">IF(OR(H66="",E66=""),"",IF(H66&lt;=0,0,MAX(0,'Aging Summary'!$Z$1-E66)))</f>
        <v/>
      </c>
      <c r="J66" s="28" t="str">
        <f aca="false">IF(H66="","",IF(H66&lt;=0,"Paid",IF(OR(I66="",I66=0),"Current",IF(I66&lt;=30,"Up to one month past due",IF(I66&lt;=60,"One to two months past due",IF(I66&lt;=90,"Two to three months past due","Over three months past due"))))))</f>
        <v/>
      </c>
      <c r="K66" s="28" t="str">
        <f aca="false">IF(J66="","",IF(J66="Paid","None: closed",IF(J66="Current","Schedule for next payment run",IF(J66="Up to one month past due","Pay this week",IF(J66="One to two months past due","Contact vendor and confirm balance","Escalate and check for dispute")))))</f>
        <v/>
      </c>
      <c r="L66" s="28"/>
    </row>
    <row r="67" customFormat="false" ht="15" hidden="false" customHeight="false" outlineLevel="0" collapsed="false">
      <c r="A67" s="24"/>
      <c r="B67" s="24"/>
      <c r="C67" s="25"/>
      <c r="D67" s="24"/>
      <c r="E67" s="25" t="str">
        <f aca="false">IF(OR(C67="",D67=""),"",C67+D67)</f>
        <v/>
      </c>
      <c r="F67" s="26"/>
      <c r="G67" s="26"/>
      <c r="H67" s="26" t="str">
        <f aca="false">IF(F67="","",F67-N(G67))</f>
        <v/>
      </c>
      <c r="I67" s="27" t="str">
        <f aca="false">IF(OR(H67="",E67=""),"",IF(H67&lt;=0,0,MAX(0,'Aging Summary'!$Z$1-E67)))</f>
        <v/>
      </c>
      <c r="J67" s="24" t="str">
        <f aca="false">IF(H67="","",IF(H67&lt;=0,"Paid",IF(OR(I67="",I67=0),"Current",IF(I67&lt;=30,"Up to one month past due",IF(I67&lt;=60,"One to two months past due",IF(I67&lt;=90,"Two to three months past due","Over three months past due"))))))</f>
        <v/>
      </c>
      <c r="K67" s="24" t="str">
        <f aca="false">IF(J67="","",IF(J67="Paid","None: closed",IF(J67="Current","Schedule for next payment run",IF(J67="Up to one month past due","Pay this week",IF(J67="One to two months past due","Contact vendor and confirm balance","Escalate and check for dispute")))))</f>
        <v/>
      </c>
      <c r="L67" s="24"/>
    </row>
    <row r="68" customFormat="false" ht="15" hidden="false" customHeight="false" outlineLevel="0" collapsed="false">
      <c r="A68" s="28"/>
      <c r="B68" s="28"/>
      <c r="C68" s="29"/>
      <c r="D68" s="28"/>
      <c r="E68" s="29" t="str">
        <f aca="false">IF(OR(C68="",D68=""),"",C68+D68)</f>
        <v/>
      </c>
      <c r="F68" s="30"/>
      <c r="G68" s="30"/>
      <c r="H68" s="30" t="str">
        <f aca="false">IF(F68="","",F68-N(G68))</f>
        <v/>
      </c>
      <c r="I68" s="31" t="str">
        <f aca="false">IF(OR(H68="",E68=""),"",IF(H68&lt;=0,0,MAX(0,'Aging Summary'!$Z$1-E68)))</f>
        <v/>
      </c>
      <c r="J68" s="28" t="str">
        <f aca="false">IF(H68="","",IF(H68&lt;=0,"Paid",IF(OR(I68="",I68=0),"Current",IF(I68&lt;=30,"Up to one month past due",IF(I68&lt;=60,"One to two months past due",IF(I68&lt;=90,"Two to three months past due","Over three months past due"))))))</f>
        <v/>
      </c>
      <c r="K68" s="28" t="str">
        <f aca="false">IF(J68="","",IF(J68="Paid","None: closed",IF(J68="Current","Schedule for next payment run",IF(J68="Up to one month past due","Pay this week",IF(J68="One to two months past due","Contact vendor and confirm balance","Escalate and check for dispute")))))</f>
        <v/>
      </c>
      <c r="L68" s="28"/>
    </row>
    <row r="69" customFormat="false" ht="15" hidden="false" customHeight="false" outlineLevel="0" collapsed="false">
      <c r="A69" s="24"/>
      <c r="B69" s="24"/>
      <c r="C69" s="25"/>
      <c r="D69" s="24"/>
      <c r="E69" s="25" t="str">
        <f aca="false">IF(OR(C69="",D69=""),"",C69+D69)</f>
        <v/>
      </c>
      <c r="F69" s="26"/>
      <c r="G69" s="26"/>
      <c r="H69" s="26" t="str">
        <f aca="false">IF(F69="","",F69-N(G69))</f>
        <v/>
      </c>
      <c r="I69" s="27" t="str">
        <f aca="false">IF(OR(H69="",E69=""),"",IF(H69&lt;=0,0,MAX(0,'Aging Summary'!$Z$1-E69)))</f>
        <v/>
      </c>
      <c r="J69" s="24" t="str">
        <f aca="false">IF(H69="","",IF(H69&lt;=0,"Paid",IF(OR(I69="",I69=0),"Current",IF(I69&lt;=30,"Up to one month past due",IF(I69&lt;=60,"One to two months past due",IF(I69&lt;=90,"Two to three months past due","Over three months past due"))))))</f>
        <v/>
      </c>
      <c r="K69" s="24" t="str">
        <f aca="false">IF(J69="","",IF(J69="Paid","None: closed",IF(J69="Current","Schedule for next payment run",IF(J69="Up to one month past due","Pay this week",IF(J69="One to two months past due","Contact vendor and confirm balance","Escalate and check for dispute")))))</f>
        <v/>
      </c>
      <c r="L69" s="24"/>
    </row>
    <row r="70" customFormat="false" ht="15" hidden="false" customHeight="false" outlineLevel="0" collapsed="false">
      <c r="A70" s="28"/>
      <c r="B70" s="28"/>
      <c r="C70" s="29"/>
      <c r="D70" s="28"/>
      <c r="E70" s="29" t="str">
        <f aca="false">IF(OR(C70="",D70=""),"",C70+D70)</f>
        <v/>
      </c>
      <c r="F70" s="30"/>
      <c r="G70" s="30"/>
      <c r="H70" s="30" t="str">
        <f aca="false">IF(F70="","",F70-N(G70))</f>
        <v/>
      </c>
      <c r="I70" s="31" t="str">
        <f aca="false">IF(OR(H70="",E70=""),"",IF(H70&lt;=0,0,MAX(0,'Aging Summary'!$Z$1-E70)))</f>
        <v/>
      </c>
      <c r="J70" s="28" t="str">
        <f aca="false">IF(H70="","",IF(H70&lt;=0,"Paid",IF(OR(I70="",I70=0),"Current",IF(I70&lt;=30,"Up to one month past due",IF(I70&lt;=60,"One to two months past due",IF(I70&lt;=90,"Two to three months past due","Over three months past due"))))))</f>
        <v/>
      </c>
      <c r="K70" s="28" t="str">
        <f aca="false">IF(J70="","",IF(J70="Paid","None: closed",IF(J70="Current","Schedule for next payment run",IF(J70="Up to one month past due","Pay this week",IF(J70="One to two months past due","Contact vendor and confirm balance","Escalate and check for dispute")))))</f>
        <v/>
      </c>
      <c r="L70" s="28"/>
    </row>
    <row r="71" customFormat="false" ht="15" hidden="false" customHeight="false" outlineLevel="0" collapsed="false">
      <c r="A71" s="24"/>
      <c r="B71" s="24"/>
      <c r="C71" s="25"/>
      <c r="D71" s="24"/>
      <c r="E71" s="25" t="str">
        <f aca="false">IF(OR(C71="",D71=""),"",C71+D71)</f>
        <v/>
      </c>
      <c r="F71" s="26"/>
      <c r="G71" s="26"/>
      <c r="H71" s="26" t="str">
        <f aca="false">IF(F71="","",F71-N(G71))</f>
        <v/>
      </c>
      <c r="I71" s="27" t="str">
        <f aca="false">IF(OR(H71="",E71=""),"",IF(H71&lt;=0,0,MAX(0,'Aging Summary'!$Z$1-E71)))</f>
        <v/>
      </c>
      <c r="J71" s="24" t="str">
        <f aca="false">IF(H71="","",IF(H71&lt;=0,"Paid",IF(OR(I71="",I71=0),"Current",IF(I71&lt;=30,"Up to one month past due",IF(I71&lt;=60,"One to two months past due",IF(I71&lt;=90,"Two to three months past due","Over three months past due"))))))</f>
        <v/>
      </c>
      <c r="K71" s="24" t="str">
        <f aca="false">IF(J71="","",IF(J71="Paid","None: closed",IF(J71="Current","Schedule for next payment run",IF(J71="Up to one month past due","Pay this week",IF(J71="One to two months past due","Contact vendor and confirm balance","Escalate and check for dispute")))))</f>
        <v/>
      </c>
      <c r="L71" s="24"/>
    </row>
    <row r="72" customFormat="false" ht="15" hidden="false" customHeight="false" outlineLevel="0" collapsed="false">
      <c r="A72" s="28"/>
      <c r="B72" s="28"/>
      <c r="C72" s="29"/>
      <c r="D72" s="28"/>
      <c r="E72" s="29" t="str">
        <f aca="false">IF(OR(C72="",D72=""),"",C72+D72)</f>
        <v/>
      </c>
      <c r="F72" s="30"/>
      <c r="G72" s="30"/>
      <c r="H72" s="30" t="str">
        <f aca="false">IF(F72="","",F72-N(G72))</f>
        <v/>
      </c>
      <c r="I72" s="31" t="str">
        <f aca="false">IF(OR(H72="",E72=""),"",IF(H72&lt;=0,0,MAX(0,'Aging Summary'!$Z$1-E72)))</f>
        <v/>
      </c>
      <c r="J72" s="28" t="str">
        <f aca="false">IF(H72="","",IF(H72&lt;=0,"Paid",IF(OR(I72="",I72=0),"Current",IF(I72&lt;=30,"Up to one month past due",IF(I72&lt;=60,"One to two months past due",IF(I72&lt;=90,"Two to three months past due","Over three months past due"))))))</f>
        <v/>
      </c>
      <c r="K72" s="28" t="str">
        <f aca="false">IF(J72="","",IF(J72="Paid","None: closed",IF(J72="Current","Schedule for next payment run",IF(J72="Up to one month past due","Pay this week",IF(J72="One to two months past due","Contact vendor and confirm balance","Escalate and check for dispute")))))</f>
        <v/>
      </c>
      <c r="L72" s="28"/>
    </row>
    <row r="73" customFormat="false" ht="15" hidden="false" customHeight="false" outlineLevel="0" collapsed="false">
      <c r="A73" s="24"/>
      <c r="B73" s="24"/>
      <c r="C73" s="25"/>
      <c r="D73" s="24"/>
      <c r="E73" s="25" t="str">
        <f aca="false">IF(OR(C73="",D73=""),"",C73+D73)</f>
        <v/>
      </c>
      <c r="F73" s="26"/>
      <c r="G73" s="26"/>
      <c r="H73" s="26" t="str">
        <f aca="false">IF(F73="","",F73-N(G73))</f>
        <v/>
      </c>
      <c r="I73" s="27" t="str">
        <f aca="false">IF(OR(H73="",E73=""),"",IF(H73&lt;=0,0,MAX(0,'Aging Summary'!$Z$1-E73)))</f>
        <v/>
      </c>
      <c r="J73" s="24" t="str">
        <f aca="false">IF(H73="","",IF(H73&lt;=0,"Paid",IF(OR(I73="",I73=0),"Current",IF(I73&lt;=30,"Up to one month past due",IF(I73&lt;=60,"One to two months past due",IF(I73&lt;=90,"Two to three months past due","Over three months past due"))))))</f>
        <v/>
      </c>
      <c r="K73" s="24" t="str">
        <f aca="false">IF(J73="","",IF(J73="Paid","None: closed",IF(J73="Current","Schedule for next payment run",IF(J73="Up to one month past due","Pay this week",IF(J73="One to two months past due","Contact vendor and confirm balance","Escalate and check for dispute")))))</f>
        <v/>
      </c>
      <c r="L73" s="24"/>
    </row>
    <row r="74" customFormat="false" ht="15" hidden="false" customHeight="false" outlineLevel="0" collapsed="false">
      <c r="A74" s="28"/>
      <c r="B74" s="28"/>
      <c r="C74" s="29"/>
      <c r="D74" s="28"/>
      <c r="E74" s="29" t="str">
        <f aca="false">IF(OR(C74="",D74=""),"",C74+D74)</f>
        <v/>
      </c>
      <c r="F74" s="30"/>
      <c r="G74" s="30"/>
      <c r="H74" s="30" t="str">
        <f aca="false">IF(F74="","",F74-N(G74))</f>
        <v/>
      </c>
      <c r="I74" s="31" t="str">
        <f aca="false">IF(OR(H74="",E74=""),"",IF(H74&lt;=0,0,MAX(0,'Aging Summary'!$Z$1-E74)))</f>
        <v/>
      </c>
      <c r="J74" s="28" t="str">
        <f aca="false">IF(H74="","",IF(H74&lt;=0,"Paid",IF(OR(I74="",I74=0),"Current",IF(I74&lt;=30,"Up to one month past due",IF(I74&lt;=60,"One to two months past due",IF(I74&lt;=90,"Two to three months past due","Over three months past due"))))))</f>
        <v/>
      </c>
      <c r="K74" s="28" t="str">
        <f aca="false">IF(J74="","",IF(J74="Paid","None: closed",IF(J74="Current","Schedule for next payment run",IF(J74="Up to one month past due","Pay this week",IF(J74="One to two months past due","Contact vendor and confirm balance","Escalate and check for dispute")))))</f>
        <v/>
      </c>
      <c r="L74" s="28"/>
    </row>
    <row r="75" customFormat="false" ht="15" hidden="false" customHeight="false" outlineLevel="0" collapsed="false">
      <c r="A75" s="24"/>
      <c r="B75" s="24"/>
      <c r="C75" s="25"/>
      <c r="D75" s="24"/>
      <c r="E75" s="25" t="str">
        <f aca="false">IF(OR(C75="",D75=""),"",C75+D75)</f>
        <v/>
      </c>
      <c r="F75" s="26"/>
      <c r="G75" s="26"/>
      <c r="H75" s="26" t="str">
        <f aca="false">IF(F75="","",F75-N(G75))</f>
        <v/>
      </c>
      <c r="I75" s="27" t="str">
        <f aca="false">IF(OR(H75="",E75=""),"",IF(H75&lt;=0,0,MAX(0,'Aging Summary'!$Z$1-E75)))</f>
        <v/>
      </c>
      <c r="J75" s="24" t="str">
        <f aca="false">IF(H75="","",IF(H75&lt;=0,"Paid",IF(OR(I75="",I75=0),"Current",IF(I75&lt;=30,"Up to one month past due",IF(I75&lt;=60,"One to two months past due",IF(I75&lt;=90,"Two to three months past due","Over three months past due"))))))</f>
        <v/>
      </c>
      <c r="K75" s="24" t="str">
        <f aca="false">IF(J75="","",IF(J75="Paid","None: closed",IF(J75="Current","Schedule for next payment run",IF(J75="Up to one month past due","Pay this week",IF(J75="One to two months past due","Contact vendor and confirm balance","Escalate and check for dispute")))))</f>
        <v/>
      </c>
      <c r="L75" s="24"/>
    </row>
    <row r="76" customFormat="false" ht="15" hidden="false" customHeight="false" outlineLevel="0" collapsed="false">
      <c r="A76" s="28"/>
      <c r="B76" s="28"/>
      <c r="C76" s="29"/>
      <c r="D76" s="28"/>
      <c r="E76" s="29" t="str">
        <f aca="false">IF(OR(C76="",D76=""),"",C76+D76)</f>
        <v/>
      </c>
      <c r="F76" s="30"/>
      <c r="G76" s="30"/>
      <c r="H76" s="30" t="str">
        <f aca="false">IF(F76="","",F76-N(G76))</f>
        <v/>
      </c>
      <c r="I76" s="31" t="str">
        <f aca="false">IF(OR(H76="",E76=""),"",IF(H76&lt;=0,0,MAX(0,'Aging Summary'!$Z$1-E76)))</f>
        <v/>
      </c>
      <c r="J76" s="28" t="str">
        <f aca="false">IF(H76="","",IF(H76&lt;=0,"Paid",IF(OR(I76="",I76=0),"Current",IF(I76&lt;=30,"Up to one month past due",IF(I76&lt;=60,"One to two months past due",IF(I76&lt;=90,"Two to three months past due","Over three months past due"))))))</f>
        <v/>
      </c>
      <c r="K76" s="28" t="str">
        <f aca="false">IF(J76="","",IF(J76="Paid","None: closed",IF(J76="Current","Schedule for next payment run",IF(J76="Up to one month past due","Pay this week",IF(J76="One to two months past due","Contact vendor and confirm balance","Escalate and check for dispute")))))</f>
        <v/>
      </c>
      <c r="L76" s="28"/>
    </row>
    <row r="77" customFormat="false" ht="15" hidden="false" customHeight="false" outlineLevel="0" collapsed="false">
      <c r="A77" s="24"/>
      <c r="B77" s="24"/>
      <c r="C77" s="25"/>
      <c r="D77" s="24"/>
      <c r="E77" s="25" t="str">
        <f aca="false">IF(OR(C77="",D77=""),"",C77+D77)</f>
        <v/>
      </c>
      <c r="F77" s="26"/>
      <c r="G77" s="26"/>
      <c r="H77" s="26" t="str">
        <f aca="false">IF(F77="","",F77-N(G77))</f>
        <v/>
      </c>
      <c r="I77" s="27" t="str">
        <f aca="false">IF(OR(H77="",E77=""),"",IF(H77&lt;=0,0,MAX(0,'Aging Summary'!$Z$1-E77)))</f>
        <v/>
      </c>
      <c r="J77" s="24" t="str">
        <f aca="false">IF(H77="","",IF(H77&lt;=0,"Paid",IF(OR(I77="",I77=0),"Current",IF(I77&lt;=30,"Up to one month past due",IF(I77&lt;=60,"One to two months past due",IF(I77&lt;=90,"Two to three months past due","Over three months past due"))))))</f>
        <v/>
      </c>
      <c r="K77" s="24" t="str">
        <f aca="false">IF(J77="","",IF(J77="Paid","None: closed",IF(J77="Current","Schedule for next payment run",IF(J77="Up to one month past due","Pay this week",IF(J77="One to two months past due","Contact vendor and confirm balance","Escalate and check for dispute")))))</f>
        <v/>
      </c>
      <c r="L77" s="24"/>
    </row>
    <row r="78" customFormat="false" ht="15" hidden="false" customHeight="false" outlineLevel="0" collapsed="false">
      <c r="A78" s="28"/>
      <c r="B78" s="28"/>
      <c r="C78" s="29"/>
      <c r="D78" s="28"/>
      <c r="E78" s="29" t="str">
        <f aca="false">IF(OR(C78="",D78=""),"",C78+D78)</f>
        <v/>
      </c>
      <c r="F78" s="30"/>
      <c r="G78" s="30"/>
      <c r="H78" s="30" t="str">
        <f aca="false">IF(F78="","",F78-N(G78))</f>
        <v/>
      </c>
      <c r="I78" s="31" t="str">
        <f aca="false">IF(OR(H78="",E78=""),"",IF(H78&lt;=0,0,MAX(0,'Aging Summary'!$Z$1-E78)))</f>
        <v/>
      </c>
      <c r="J78" s="28" t="str">
        <f aca="false">IF(H78="","",IF(H78&lt;=0,"Paid",IF(OR(I78="",I78=0),"Current",IF(I78&lt;=30,"Up to one month past due",IF(I78&lt;=60,"One to two months past due",IF(I78&lt;=90,"Two to three months past due","Over three months past due"))))))</f>
        <v/>
      </c>
      <c r="K78" s="28" t="str">
        <f aca="false">IF(J78="","",IF(J78="Paid","None: closed",IF(J78="Current","Schedule for next payment run",IF(J78="Up to one month past due","Pay this week",IF(J78="One to two months past due","Contact vendor and confirm balance","Escalate and check for dispute")))))</f>
        <v/>
      </c>
      <c r="L78" s="28"/>
    </row>
    <row r="79" customFormat="false" ht="15" hidden="false" customHeight="false" outlineLevel="0" collapsed="false">
      <c r="A79" s="24"/>
      <c r="B79" s="24"/>
      <c r="C79" s="25"/>
      <c r="D79" s="24"/>
      <c r="E79" s="25" t="str">
        <f aca="false">IF(OR(C79="",D79=""),"",C79+D79)</f>
        <v/>
      </c>
      <c r="F79" s="26"/>
      <c r="G79" s="26"/>
      <c r="H79" s="26" t="str">
        <f aca="false">IF(F79="","",F79-N(G79))</f>
        <v/>
      </c>
      <c r="I79" s="27" t="str">
        <f aca="false">IF(OR(H79="",E79=""),"",IF(H79&lt;=0,0,MAX(0,'Aging Summary'!$Z$1-E79)))</f>
        <v/>
      </c>
      <c r="J79" s="24" t="str">
        <f aca="false">IF(H79="","",IF(H79&lt;=0,"Paid",IF(OR(I79="",I79=0),"Current",IF(I79&lt;=30,"Up to one month past due",IF(I79&lt;=60,"One to two months past due",IF(I79&lt;=90,"Two to three months past due","Over three months past due"))))))</f>
        <v/>
      </c>
      <c r="K79" s="24" t="str">
        <f aca="false">IF(J79="","",IF(J79="Paid","None: closed",IF(J79="Current","Schedule for next payment run",IF(J79="Up to one month past due","Pay this week",IF(J79="One to two months past due","Contact vendor and confirm balance","Escalate and check for dispute")))))</f>
        <v/>
      </c>
      <c r="L79" s="24"/>
    </row>
    <row r="80" customFormat="false" ht="15" hidden="false" customHeight="false" outlineLevel="0" collapsed="false">
      <c r="A80" s="28"/>
      <c r="B80" s="28"/>
      <c r="C80" s="29"/>
      <c r="D80" s="28"/>
      <c r="E80" s="29" t="str">
        <f aca="false">IF(OR(C80="",D80=""),"",C80+D80)</f>
        <v/>
      </c>
      <c r="F80" s="30"/>
      <c r="G80" s="30"/>
      <c r="H80" s="30" t="str">
        <f aca="false">IF(F80="","",F80-N(G80))</f>
        <v/>
      </c>
      <c r="I80" s="31" t="str">
        <f aca="false">IF(OR(H80="",E80=""),"",IF(H80&lt;=0,0,MAX(0,'Aging Summary'!$Z$1-E80)))</f>
        <v/>
      </c>
      <c r="J80" s="28" t="str">
        <f aca="false">IF(H80="","",IF(H80&lt;=0,"Paid",IF(OR(I80="",I80=0),"Current",IF(I80&lt;=30,"Up to one month past due",IF(I80&lt;=60,"One to two months past due",IF(I80&lt;=90,"Two to three months past due","Over three months past due"))))))</f>
        <v/>
      </c>
      <c r="K80" s="28" t="str">
        <f aca="false">IF(J80="","",IF(J80="Paid","None: closed",IF(J80="Current","Schedule for next payment run",IF(J80="Up to one month past due","Pay this week",IF(J80="One to two months past due","Contact vendor and confirm balance","Escalate and check for dispute")))))</f>
        <v/>
      </c>
      <c r="L80" s="28"/>
    </row>
    <row r="81" customFormat="false" ht="15" hidden="false" customHeight="false" outlineLevel="0" collapsed="false">
      <c r="A81" s="24"/>
      <c r="B81" s="24"/>
      <c r="C81" s="25"/>
      <c r="D81" s="24"/>
      <c r="E81" s="25" t="str">
        <f aca="false">IF(OR(C81="",D81=""),"",C81+D81)</f>
        <v/>
      </c>
      <c r="F81" s="26"/>
      <c r="G81" s="26"/>
      <c r="H81" s="26" t="str">
        <f aca="false">IF(F81="","",F81-N(G81))</f>
        <v/>
      </c>
      <c r="I81" s="27" t="str">
        <f aca="false">IF(OR(H81="",E81=""),"",IF(H81&lt;=0,0,MAX(0,'Aging Summary'!$Z$1-E81)))</f>
        <v/>
      </c>
      <c r="J81" s="24" t="str">
        <f aca="false">IF(H81="","",IF(H81&lt;=0,"Paid",IF(OR(I81="",I81=0),"Current",IF(I81&lt;=30,"Up to one month past due",IF(I81&lt;=60,"One to two months past due",IF(I81&lt;=90,"Two to three months past due","Over three months past due"))))))</f>
        <v/>
      </c>
      <c r="K81" s="24" t="str">
        <f aca="false">IF(J81="","",IF(J81="Paid","None: closed",IF(J81="Current","Schedule for next payment run",IF(J81="Up to one month past due","Pay this week",IF(J81="One to two months past due","Contact vendor and confirm balance","Escalate and check for dispute")))))</f>
        <v/>
      </c>
      <c r="L81" s="24"/>
    </row>
    <row r="82" customFormat="false" ht="15" hidden="false" customHeight="false" outlineLevel="0" collapsed="false">
      <c r="A82" s="28"/>
      <c r="B82" s="28"/>
      <c r="C82" s="29"/>
      <c r="D82" s="28"/>
      <c r="E82" s="29" t="str">
        <f aca="false">IF(OR(C82="",D82=""),"",C82+D82)</f>
        <v/>
      </c>
      <c r="F82" s="30"/>
      <c r="G82" s="30"/>
      <c r="H82" s="30" t="str">
        <f aca="false">IF(F82="","",F82-N(G82))</f>
        <v/>
      </c>
      <c r="I82" s="31" t="str">
        <f aca="false">IF(OR(H82="",E82=""),"",IF(H82&lt;=0,0,MAX(0,'Aging Summary'!$Z$1-E82)))</f>
        <v/>
      </c>
      <c r="J82" s="28" t="str">
        <f aca="false">IF(H82="","",IF(H82&lt;=0,"Paid",IF(OR(I82="",I82=0),"Current",IF(I82&lt;=30,"Up to one month past due",IF(I82&lt;=60,"One to two months past due",IF(I82&lt;=90,"Two to three months past due","Over three months past due"))))))</f>
        <v/>
      </c>
      <c r="K82" s="28" t="str">
        <f aca="false">IF(J82="","",IF(J82="Paid","None: closed",IF(J82="Current","Schedule for next payment run",IF(J82="Up to one month past due","Pay this week",IF(J82="One to two months past due","Contact vendor and confirm balance","Escalate and check for dispute")))))</f>
        <v/>
      </c>
      <c r="L82" s="28"/>
    </row>
    <row r="83" customFormat="false" ht="15" hidden="false" customHeight="false" outlineLevel="0" collapsed="false">
      <c r="A83" s="24"/>
      <c r="B83" s="24"/>
      <c r="C83" s="25"/>
      <c r="D83" s="24"/>
      <c r="E83" s="25" t="str">
        <f aca="false">IF(OR(C83="",D83=""),"",C83+D83)</f>
        <v/>
      </c>
      <c r="F83" s="26"/>
      <c r="G83" s="26"/>
      <c r="H83" s="26" t="str">
        <f aca="false">IF(F83="","",F83-N(G83))</f>
        <v/>
      </c>
      <c r="I83" s="27" t="str">
        <f aca="false">IF(OR(H83="",E83=""),"",IF(H83&lt;=0,0,MAX(0,'Aging Summary'!$Z$1-E83)))</f>
        <v/>
      </c>
      <c r="J83" s="24" t="str">
        <f aca="false">IF(H83="","",IF(H83&lt;=0,"Paid",IF(OR(I83="",I83=0),"Current",IF(I83&lt;=30,"Up to one month past due",IF(I83&lt;=60,"One to two months past due",IF(I83&lt;=90,"Two to three months past due","Over three months past due"))))))</f>
        <v/>
      </c>
      <c r="K83" s="24" t="str">
        <f aca="false">IF(J83="","",IF(J83="Paid","None: closed",IF(J83="Current","Schedule for next payment run",IF(J83="Up to one month past due","Pay this week",IF(J83="One to two months past due","Contact vendor and confirm balance","Escalate and check for dispute")))))</f>
        <v/>
      </c>
      <c r="L83" s="24"/>
    </row>
    <row r="84" customFormat="false" ht="15" hidden="false" customHeight="false" outlineLevel="0" collapsed="false">
      <c r="A84" s="28"/>
      <c r="B84" s="28"/>
      <c r="C84" s="29"/>
      <c r="D84" s="28"/>
      <c r="E84" s="29" t="str">
        <f aca="false">IF(OR(C84="",D84=""),"",C84+D84)</f>
        <v/>
      </c>
      <c r="F84" s="30"/>
      <c r="G84" s="30"/>
      <c r="H84" s="30" t="str">
        <f aca="false">IF(F84="","",F84-N(G84))</f>
        <v/>
      </c>
      <c r="I84" s="31" t="str">
        <f aca="false">IF(OR(H84="",E84=""),"",IF(H84&lt;=0,0,MAX(0,'Aging Summary'!$Z$1-E84)))</f>
        <v/>
      </c>
      <c r="J84" s="28" t="str">
        <f aca="false">IF(H84="","",IF(H84&lt;=0,"Paid",IF(OR(I84="",I84=0),"Current",IF(I84&lt;=30,"Up to one month past due",IF(I84&lt;=60,"One to two months past due",IF(I84&lt;=90,"Two to three months past due","Over three months past due"))))))</f>
        <v/>
      </c>
      <c r="K84" s="28" t="str">
        <f aca="false">IF(J84="","",IF(J84="Paid","None: closed",IF(J84="Current","Schedule for next payment run",IF(J84="Up to one month past due","Pay this week",IF(J84="One to two months past due","Contact vendor and confirm balance","Escalate and check for dispute")))))</f>
        <v/>
      </c>
      <c r="L84" s="28"/>
    </row>
    <row r="85" customFormat="false" ht="15" hidden="false" customHeight="false" outlineLevel="0" collapsed="false">
      <c r="A85" s="24"/>
      <c r="B85" s="24"/>
      <c r="C85" s="25"/>
      <c r="D85" s="24"/>
      <c r="E85" s="25" t="str">
        <f aca="false">IF(OR(C85="",D85=""),"",C85+D85)</f>
        <v/>
      </c>
      <c r="F85" s="26"/>
      <c r="G85" s="26"/>
      <c r="H85" s="26" t="str">
        <f aca="false">IF(F85="","",F85-N(G85))</f>
        <v/>
      </c>
      <c r="I85" s="27" t="str">
        <f aca="false">IF(OR(H85="",E85=""),"",IF(H85&lt;=0,0,MAX(0,'Aging Summary'!$Z$1-E85)))</f>
        <v/>
      </c>
      <c r="J85" s="24" t="str">
        <f aca="false">IF(H85="","",IF(H85&lt;=0,"Paid",IF(OR(I85="",I85=0),"Current",IF(I85&lt;=30,"Up to one month past due",IF(I85&lt;=60,"One to two months past due",IF(I85&lt;=90,"Two to three months past due","Over three months past due"))))))</f>
        <v/>
      </c>
      <c r="K85" s="24" t="str">
        <f aca="false">IF(J85="","",IF(J85="Paid","None: closed",IF(J85="Current","Schedule for next payment run",IF(J85="Up to one month past due","Pay this week",IF(J85="One to two months past due","Contact vendor and confirm balance","Escalate and check for dispute")))))</f>
        <v/>
      </c>
      <c r="L85" s="24"/>
    </row>
    <row r="86" customFormat="false" ht="15" hidden="false" customHeight="false" outlineLevel="0" collapsed="false">
      <c r="A86" s="28"/>
      <c r="B86" s="28"/>
      <c r="C86" s="29"/>
      <c r="D86" s="28"/>
      <c r="E86" s="29" t="str">
        <f aca="false">IF(OR(C86="",D86=""),"",C86+D86)</f>
        <v/>
      </c>
      <c r="F86" s="30"/>
      <c r="G86" s="30"/>
      <c r="H86" s="30" t="str">
        <f aca="false">IF(F86="","",F86-N(G86))</f>
        <v/>
      </c>
      <c r="I86" s="31" t="str">
        <f aca="false">IF(OR(H86="",E86=""),"",IF(H86&lt;=0,0,MAX(0,'Aging Summary'!$Z$1-E86)))</f>
        <v/>
      </c>
      <c r="J86" s="28" t="str">
        <f aca="false">IF(H86="","",IF(H86&lt;=0,"Paid",IF(OR(I86="",I86=0),"Current",IF(I86&lt;=30,"Up to one month past due",IF(I86&lt;=60,"One to two months past due",IF(I86&lt;=90,"Two to three months past due","Over three months past due"))))))</f>
        <v/>
      </c>
      <c r="K86" s="28" t="str">
        <f aca="false">IF(J86="","",IF(J86="Paid","None: closed",IF(J86="Current","Schedule for next payment run",IF(J86="Up to one month past due","Pay this week",IF(J86="One to two months past due","Contact vendor and confirm balance","Escalate and check for dispute")))))</f>
        <v/>
      </c>
      <c r="L86" s="28"/>
    </row>
    <row r="87" customFormat="false" ht="15" hidden="false" customHeight="false" outlineLevel="0" collapsed="false">
      <c r="A87" s="24"/>
      <c r="B87" s="24"/>
      <c r="C87" s="25"/>
      <c r="D87" s="24"/>
      <c r="E87" s="25" t="str">
        <f aca="false">IF(OR(C87="",D87=""),"",C87+D87)</f>
        <v/>
      </c>
      <c r="F87" s="26"/>
      <c r="G87" s="26"/>
      <c r="H87" s="26" t="str">
        <f aca="false">IF(F87="","",F87-N(G87))</f>
        <v/>
      </c>
      <c r="I87" s="27" t="str">
        <f aca="false">IF(OR(H87="",E87=""),"",IF(H87&lt;=0,0,MAX(0,'Aging Summary'!$Z$1-E87)))</f>
        <v/>
      </c>
      <c r="J87" s="24" t="str">
        <f aca="false">IF(H87="","",IF(H87&lt;=0,"Paid",IF(OR(I87="",I87=0),"Current",IF(I87&lt;=30,"Up to one month past due",IF(I87&lt;=60,"One to two months past due",IF(I87&lt;=90,"Two to three months past due","Over three months past due"))))))</f>
        <v/>
      </c>
      <c r="K87" s="24" t="str">
        <f aca="false">IF(J87="","",IF(J87="Paid","None: closed",IF(J87="Current","Schedule for next payment run",IF(J87="Up to one month past due","Pay this week",IF(J87="One to two months past due","Contact vendor and confirm balance","Escalate and check for dispute")))))</f>
        <v/>
      </c>
      <c r="L87" s="24"/>
    </row>
    <row r="88" customFormat="false" ht="15" hidden="false" customHeight="false" outlineLevel="0" collapsed="false">
      <c r="A88" s="28"/>
      <c r="B88" s="28"/>
      <c r="C88" s="29"/>
      <c r="D88" s="28"/>
      <c r="E88" s="29" t="str">
        <f aca="false">IF(OR(C88="",D88=""),"",C88+D88)</f>
        <v/>
      </c>
      <c r="F88" s="30"/>
      <c r="G88" s="30"/>
      <c r="H88" s="30" t="str">
        <f aca="false">IF(F88="","",F88-N(G88))</f>
        <v/>
      </c>
      <c r="I88" s="31" t="str">
        <f aca="false">IF(OR(H88="",E88=""),"",IF(H88&lt;=0,0,MAX(0,'Aging Summary'!$Z$1-E88)))</f>
        <v/>
      </c>
      <c r="J88" s="28" t="str">
        <f aca="false">IF(H88="","",IF(H88&lt;=0,"Paid",IF(OR(I88="",I88=0),"Current",IF(I88&lt;=30,"Up to one month past due",IF(I88&lt;=60,"One to two months past due",IF(I88&lt;=90,"Two to three months past due","Over three months past due"))))))</f>
        <v/>
      </c>
      <c r="K88" s="28" t="str">
        <f aca="false">IF(J88="","",IF(J88="Paid","None: closed",IF(J88="Current","Schedule for next payment run",IF(J88="Up to one month past due","Pay this week",IF(J88="One to two months past due","Contact vendor and confirm balance","Escalate and check for dispute")))))</f>
        <v/>
      </c>
      <c r="L88" s="28"/>
    </row>
    <row r="89" customFormat="false" ht="15" hidden="false" customHeight="false" outlineLevel="0" collapsed="false">
      <c r="A89" s="24"/>
      <c r="B89" s="24"/>
      <c r="C89" s="25"/>
      <c r="D89" s="24"/>
      <c r="E89" s="25" t="str">
        <f aca="false">IF(OR(C89="",D89=""),"",C89+D89)</f>
        <v/>
      </c>
      <c r="F89" s="26"/>
      <c r="G89" s="26"/>
      <c r="H89" s="26" t="str">
        <f aca="false">IF(F89="","",F89-N(G89))</f>
        <v/>
      </c>
      <c r="I89" s="27" t="str">
        <f aca="false">IF(OR(H89="",E89=""),"",IF(H89&lt;=0,0,MAX(0,'Aging Summary'!$Z$1-E89)))</f>
        <v/>
      </c>
      <c r="J89" s="24" t="str">
        <f aca="false">IF(H89="","",IF(H89&lt;=0,"Paid",IF(OR(I89="",I89=0),"Current",IF(I89&lt;=30,"Up to one month past due",IF(I89&lt;=60,"One to two months past due",IF(I89&lt;=90,"Two to three months past due","Over three months past due"))))))</f>
        <v/>
      </c>
      <c r="K89" s="24" t="str">
        <f aca="false">IF(J89="","",IF(J89="Paid","None: closed",IF(J89="Current","Schedule for next payment run",IF(J89="Up to one month past due","Pay this week",IF(J89="One to two months past due","Contact vendor and confirm balance","Escalate and check for dispute")))))</f>
        <v/>
      </c>
      <c r="L89" s="24"/>
    </row>
    <row r="90" customFormat="false" ht="15" hidden="false" customHeight="false" outlineLevel="0" collapsed="false">
      <c r="A90" s="28"/>
      <c r="B90" s="28"/>
      <c r="C90" s="29"/>
      <c r="D90" s="28"/>
      <c r="E90" s="29" t="str">
        <f aca="false">IF(OR(C90="",D90=""),"",C90+D90)</f>
        <v/>
      </c>
      <c r="F90" s="30"/>
      <c r="G90" s="30"/>
      <c r="H90" s="30" t="str">
        <f aca="false">IF(F90="","",F90-N(G90))</f>
        <v/>
      </c>
      <c r="I90" s="31" t="str">
        <f aca="false">IF(OR(H90="",E90=""),"",IF(H90&lt;=0,0,MAX(0,'Aging Summary'!$Z$1-E90)))</f>
        <v/>
      </c>
      <c r="J90" s="28" t="str">
        <f aca="false">IF(H90="","",IF(H90&lt;=0,"Paid",IF(OR(I90="",I90=0),"Current",IF(I90&lt;=30,"Up to one month past due",IF(I90&lt;=60,"One to two months past due",IF(I90&lt;=90,"Two to three months past due","Over three months past due"))))))</f>
        <v/>
      </c>
      <c r="K90" s="28" t="str">
        <f aca="false">IF(J90="","",IF(J90="Paid","None: closed",IF(J90="Current","Schedule for next payment run",IF(J90="Up to one month past due","Pay this week",IF(J90="One to two months past due","Contact vendor and confirm balance","Escalate and check for dispute")))))</f>
        <v/>
      </c>
      <c r="L90" s="28"/>
    </row>
    <row r="91" customFormat="false" ht="15" hidden="false" customHeight="false" outlineLevel="0" collapsed="false">
      <c r="A91" s="24"/>
      <c r="B91" s="24"/>
      <c r="C91" s="25"/>
      <c r="D91" s="24"/>
      <c r="E91" s="25" t="str">
        <f aca="false">IF(OR(C91="",D91=""),"",C91+D91)</f>
        <v/>
      </c>
      <c r="F91" s="26"/>
      <c r="G91" s="26"/>
      <c r="H91" s="26" t="str">
        <f aca="false">IF(F91="","",F91-N(G91))</f>
        <v/>
      </c>
      <c r="I91" s="27" t="str">
        <f aca="false">IF(OR(H91="",E91=""),"",IF(H91&lt;=0,0,MAX(0,'Aging Summary'!$Z$1-E91)))</f>
        <v/>
      </c>
      <c r="J91" s="24" t="str">
        <f aca="false">IF(H91="","",IF(H91&lt;=0,"Paid",IF(OR(I91="",I91=0),"Current",IF(I91&lt;=30,"Up to one month past due",IF(I91&lt;=60,"One to two months past due",IF(I91&lt;=90,"Two to three months past due","Over three months past due"))))))</f>
        <v/>
      </c>
      <c r="K91" s="24" t="str">
        <f aca="false">IF(J91="","",IF(J91="Paid","None: closed",IF(J91="Current","Schedule for next payment run",IF(J91="Up to one month past due","Pay this week",IF(J91="One to two months past due","Contact vendor and confirm balance","Escalate and check for dispute")))))</f>
        <v/>
      </c>
      <c r="L91" s="24"/>
    </row>
    <row r="92" customFormat="false" ht="15" hidden="false" customHeight="false" outlineLevel="0" collapsed="false">
      <c r="A92" s="28"/>
      <c r="B92" s="28"/>
      <c r="C92" s="29"/>
      <c r="D92" s="28"/>
      <c r="E92" s="29" t="str">
        <f aca="false">IF(OR(C92="",D92=""),"",C92+D92)</f>
        <v/>
      </c>
      <c r="F92" s="30"/>
      <c r="G92" s="30"/>
      <c r="H92" s="30" t="str">
        <f aca="false">IF(F92="","",F92-N(G92))</f>
        <v/>
      </c>
      <c r="I92" s="31" t="str">
        <f aca="false">IF(OR(H92="",E92=""),"",IF(H92&lt;=0,0,MAX(0,'Aging Summary'!$Z$1-E92)))</f>
        <v/>
      </c>
      <c r="J92" s="28" t="str">
        <f aca="false">IF(H92="","",IF(H92&lt;=0,"Paid",IF(OR(I92="",I92=0),"Current",IF(I92&lt;=30,"Up to one month past due",IF(I92&lt;=60,"One to two months past due",IF(I92&lt;=90,"Two to three months past due","Over three months past due"))))))</f>
        <v/>
      </c>
      <c r="K92" s="28" t="str">
        <f aca="false">IF(J92="","",IF(J92="Paid","None: closed",IF(J92="Current","Schedule for next payment run",IF(J92="Up to one month past due","Pay this week",IF(J92="One to two months past due","Contact vendor and confirm balance","Escalate and check for dispute")))))</f>
        <v/>
      </c>
      <c r="L92" s="28"/>
    </row>
    <row r="93" customFormat="false" ht="15" hidden="false" customHeight="false" outlineLevel="0" collapsed="false">
      <c r="A93" s="24"/>
      <c r="B93" s="24"/>
      <c r="C93" s="25"/>
      <c r="D93" s="24"/>
      <c r="E93" s="25" t="str">
        <f aca="false">IF(OR(C93="",D93=""),"",C93+D93)</f>
        <v/>
      </c>
      <c r="F93" s="26"/>
      <c r="G93" s="26"/>
      <c r="H93" s="26" t="str">
        <f aca="false">IF(F93="","",F93-N(G93))</f>
        <v/>
      </c>
      <c r="I93" s="27" t="str">
        <f aca="false">IF(OR(H93="",E93=""),"",IF(H93&lt;=0,0,MAX(0,'Aging Summary'!$Z$1-E93)))</f>
        <v/>
      </c>
      <c r="J93" s="24" t="str">
        <f aca="false">IF(H93="","",IF(H93&lt;=0,"Paid",IF(OR(I93="",I93=0),"Current",IF(I93&lt;=30,"Up to one month past due",IF(I93&lt;=60,"One to two months past due",IF(I93&lt;=90,"Two to three months past due","Over three months past due"))))))</f>
        <v/>
      </c>
      <c r="K93" s="24" t="str">
        <f aca="false">IF(J93="","",IF(J93="Paid","None: closed",IF(J93="Current","Schedule for next payment run",IF(J93="Up to one month past due","Pay this week",IF(J93="One to two months past due","Contact vendor and confirm balance","Escalate and check for dispute")))))</f>
        <v/>
      </c>
      <c r="L93" s="24"/>
    </row>
    <row r="94" customFormat="false" ht="15" hidden="false" customHeight="false" outlineLevel="0" collapsed="false">
      <c r="A94" s="28"/>
      <c r="B94" s="28"/>
      <c r="C94" s="29"/>
      <c r="D94" s="28"/>
      <c r="E94" s="29" t="str">
        <f aca="false">IF(OR(C94="",D94=""),"",C94+D94)</f>
        <v/>
      </c>
      <c r="F94" s="30"/>
      <c r="G94" s="30"/>
      <c r="H94" s="30" t="str">
        <f aca="false">IF(F94="","",F94-N(G94))</f>
        <v/>
      </c>
      <c r="I94" s="31" t="str">
        <f aca="false">IF(OR(H94="",E94=""),"",IF(H94&lt;=0,0,MAX(0,'Aging Summary'!$Z$1-E94)))</f>
        <v/>
      </c>
      <c r="J94" s="28" t="str">
        <f aca="false">IF(H94="","",IF(H94&lt;=0,"Paid",IF(OR(I94="",I94=0),"Current",IF(I94&lt;=30,"Up to one month past due",IF(I94&lt;=60,"One to two months past due",IF(I94&lt;=90,"Two to three months past due","Over three months past due"))))))</f>
        <v/>
      </c>
      <c r="K94" s="28" t="str">
        <f aca="false">IF(J94="","",IF(J94="Paid","None: closed",IF(J94="Current","Schedule for next payment run",IF(J94="Up to one month past due","Pay this week",IF(J94="One to two months past due","Contact vendor and confirm balance","Escalate and check for dispute")))))</f>
        <v/>
      </c>
      <c r="L94" s="28"/>
    </row>
    <row r="95" customFormat="false" ht="15" hidden="false" customHeight="false" outlineLevel="0" collapsed="false">
      <c r="A95" s="24"/>
      <c r="B95" s="24"/>
      <c r="C95" s="25"/>
      <c r="D95" s="24"/>
      <c r="E95" s="25" t="str">
        <f aca="false">IF(OR(C95="",D95=""),"",C95+D95)</f>
        <v/>
      </c>
      <c r="F95" s="26"/>
      <c r="G95" s="26"/>
      <c r="H95" s="26" t="str">
        <f aca="false">IF(F95="","",F95-N(G95))</f>
        <v/>
      </c>
      <c r="I95" s="27" t="str">
        <f aca="false">IF(OR(H95="",E95=""),"",IF(H95&lt;=0,0,MAX(0,'Aging Summary'!$Z$1-E95)))</f>
        <v/>
      </c>
      <c r="J95" s="24" t="str">
        <f aca="false">IF(H95="","",IF(H95&lt;=0,"Paid",IF(OR(I95="",I95=0),"Current",IF(I95&lt;=30,"Up to one month past due",IF(I95&lt;=60,"One to two months past due",IF(I95&lt;=90,"Two to three months past due","Over three months past due"))))))</f>
        <v/>
      </c>
      <c r="K95" s="24" t="str">
        <f aca="false">IF(J95="","",IF(J95="Paid","None: closed",IF(J95="Current","Schedule for next payment run",IF(J95="Up to one month past due","Pay this week",IF(J95="One to two months past due","Contact vendor and confirm balance","Escalate and check for dispute")))))</f>
        <v/>
      </c>
      <c r="L95" s="24"/>
    </row>
    <row r="96" customFormat="false" ht="15" hidden="false" customHeight="false" outlineLevel="0" collapsed="false">
      <c r="A96" s="28"/>
      <c r="B96" s="28"/>
      <c r="C96" s="29"/>
      <c r="D96" s="28"/>
      <c r="E96" s="29" t="str">
        <f aca="false">IF(OR(C96="",D96=""),"",C96+D96)</f>
        <v/>
      </c>
      <c r="F96" s="30"/>
      <c r="G96" s="30"/>
      <c r="H96" s="30" t="str">
        <f aca="false">IF(F96="","",F96-N(G96))</f>
        <v/>
      </c>
      <c r="I96" s="31" t="str">
        <f aca="false">IF(OR(H96="",E96=""),"",IF(H96&lt;=0,0,MAX(0,'Aging Summary'!$Z$1-E96)))</f>
        <v/>
      </c>
      <c r="J96" s="28" t="str">
        <f aca="false">IF(H96="","",IF(H96&lt;=0,"Paid",IF(OR(I96="",I96=0),"Current",IF(I96&lt;=30,"Up to one month past due",IF(I96&lt;=60,"One to two months past due",IF(I96&lt;=90,"Two to three months past due","Over three months past due"))))))</f>
        <v/>
      </c>
      <c r="K96" s="28" t="str">
        <f aca="false">IF(J96="","",IF(J96="Paid","None: closed",IF(J96="Current","Schedule for next payment run",IF(J96="Up to one month past due","Pay this week",IF(J96="One to two months past due","Contact vendor and confirm balance","Escalate and check for dispute")))))</f>
        <v/>
      </c>
      <c r="L96" s="28"/>
    </row>
    <row r="97" customFormat="false" ht="15" hidden="false" customHeight="false" outlineLevel="0" collapsed="false">
      <c r="A97" s="24"/>
      <c r="B97" s="24"/>
      <c r="C97" s="25"/>
      <c r="D97" s="24"/>
      <c r="E97" s="25" t="str">
        <f aca="false">IF(OR(C97="",D97=""),"",C97+D97)</f>
        <v/>
      </c>
      <c r="F97" s="26"/>
      <c r="G97" s="26"/>
      <c r="H97" s="26" t="str">
        <f aca="false">IF(F97="","",F97-N(G97))</f>
        <v/>
      </c>
      <c r="I97" s="27" t="str">
        <f aca="false">IF(OR(H97="",E97=""),"",IF(H97&lt;=0,0,MAX(0,'Aging Summary'!$Z$1-E97)))</f>
        <v/>
      </c>
      <c r="J97" s="24" t="str">
        <f aca="false">IF(H97="","",IF(H97&lt;=0,"Paid",IF(OR(I97="",I97=0),"Current",IF(I97&lt;=30,"Up to one month past due",IF(I97&lt;=60,"One to two months past due",IF(I97&lt;=90,"Two to three months past due","Over three months past due"))))))</f>
        <v/>
      </c>
      <c r="K97" s="24" t="str">
        <f aca="false">IF(J97="","",IF(J97="Paid","None: closed",IF(J97="Current","Schedule for next payment run",IF(J97="Up to one month past due","Pay this week",IF(J97="One to two months past due","Contact vendor and confirm balance","Escalate and check for dispute")))))</f>
        <v/>
      </c>
      <c r="L97" s="24"/>
    </row>
    <row r="98" customFormat="false" ht="15" hidden="false" customHeight="false" outlineLevel="0" collapsed="false">
      <c r="A98" s="28"/>
      <c r="B98" s="28"/>
      <c r="C98" s="29"/>
      <c r="D98" s="28"/>
      <c r="E98" s="29" t="str">
        <f aca="false">IF(OR(C98="",D98=""),"",C98+D98)</f>
        <v/>
      </c>
      <c r="F98" s="30"/>
      <c r="G98" s="30"/>
      <c r="H98" s="30" t="str">
        <f aca="false">IF(F98="","",F98-N(G98))</f>
        <v/>
      </c>
      <c r="I98" s="31" t="str">
        <f aca="false">IF(OR(H98="",E98=""),"",IF(H98&lt;=0,0,MAX(0,'Aging Summary'!$Z$1-E98)))</f>
        <v/>
      </c>
      <c r="J98" s="28" t="str">
        <f aca="false">IF(H98="","",IF(H98&lt;=0,"Paid",IF(OR(I98="",I98=0),"Current",IF(I98&lt;=30,"Up to one month past due",IF(I98&lt;=60,"One to two months past due",IF(I98&lt;=90,"Two to three months past due","Over three months past due"))))))</f>
        <v/>
      </c>
      <c r="K98" s="28" t="str">
        <f aca="false">IF(J98="","",IF(J98="Paid","None: closed",IF(J98="Current","Schedule for next payment run",IF(J98="Up to one month past due","Pay this week",IF(J98="One to two months past due","Contact vendor and confirm balance","Escalate and check for dispute")))))</f>
        <v/>
      </c>
      <c r="L98" s="28"/>
    </row>
    <row r="99" customFormat="false" ht="15" hidden="false" customHeight="false" outlineLevel="0" collapsed="false">
      <c r="A99" s="24"/>
      <c r="B99" s="24"/>
      <c r="C99" s="25"/>
      <c r="D99" s="24"/>
      <c r="E99" s="25" t="str">
        <f aca="false">IF(OR(C99="",D99=""),"",C99+D99)</f>
        <v/>
      </c>
      <c r="F99" s="26"/>
      <c r="G99" s="26"/>
      <c r="H99" s="26" t="str">
        <f aca="false">IF(F99="","",F99-N(G99))</f>
        <v/>
      </c>
      <c r="I99" s="27" t="str">
        <f aca="false">IF(OR(H99="",E99=""),"",IF(H99&lt;=0,0,MAX(0,'Aging Summary'!$Z$1-E99)))</f>
        <v/>
      </c>
      <c r="J99" s="24" t="str">
        <f aca="false">IF(H99="","",IF(H99&lt;=0,"Paid",IF(OR(I99="",I99=0),"Current",IF(I99&lt;=30,"Up to one month past due",IF(I99&lt;=60,"One to two months past due",IF(I99&lt;=90,"Two to three months past due","Over three months past due"))))))</f>
        <v/>
      </c>
      <c r="K99" s="24" t="str">
        <f aca="false">IF(J99="","",IF(J99="Paid","None: closed",IF(J99="Current","Schedule for next payment run",IF(J99="Up to one month past due","Pay this week",IF(J99="One to two months past due","Contact vendor and confirm balance","Escalate and check for dispute")))))</f>
        <v/>
      </c>
      <c r="L99" s="24"/>
    </row>
    <row r="100" customFormat="false" ht="15" hidden="false" customHeight="false" outlineLevel="0" collapsed="false">
      <c r="A100" s="28"/>
      <c r="B100" s="28"/>
      <c r="C100" s="29"/>
      <c r="D100" s="28"/>
      <c r="E100" s="29" t="str">
        <f aca="false">IF(OR(C100="",D100=""),"",C100+D100)</f>
        <v/>
      </c>
      <c r="F100" s="30"/>
      <c r="G100" s="30"/>
      <c r="H100" s="30" t="str">
        <f aca="false">IF(F100="","",F100-N(G100))</f>
        <v/>
      </c>
      <c r="I100" s="31" t="str">
        <f aca="false">IF(OR(H100="",E100=""),"",IF(H100&lt;=0,0,MAX(0,'Aging Summary'!$Z$1-E100)))</f>
        <v/>
      </c>
      <c r="J100" s="28" t="str">
        <f aca="false">IF(H100="","",IF(H100&lt;=0,"Paid",IF(OR(I100="",I100=0),"Current",IF(I100&lt;=30,"Up to one month past due",IF(I100&lt;=60,"One to two months past due",IF(I100&lt;=90,"Two to three months past due","Over three months past due"))))))</f>
        <v/>
      </c>
      <c r="K100" s="28" t="str">
        <f aca="false">IF(J100="","",IF(J100="Paid","None: closed",IF(J100="Current","Schedule for next payment run",IF(J100="Up to one month past due","Pay this week",IF(J100="One to two months past due","Contact vendor and confirm balance","Escalate and check for dispute")))))</f>
        <v/>
      </c>
      <c r="L100" s="28"/>
    </row>
    <row r="101" customFormat="false" ht="15" hidden="false" customHeight="false" outlineLevel="0" collapsed="false">
      <c r="A101" s="24"/>
      <c r="B101" s="24"/>
      <c r="C101" s="25"/>
      <c r="D101" s="24"/>
      <c r="E101" s="25" t="str">
        <f aca="false">IF(OR(C101="",D101=""),"",C101+D101)</f>
        <v/>
      </c>
      <c r="F101" s="26"/>
      <c r="G101" s="26"/>
      <c r="H101" s="26" t="str">
        <f aca="false">IF(F101="","",F101-N(G101))</f>
        <v/>
      </c>
      <c r="I101" s="27" t="str">
        <f aca="false">IF(OR(H101="",E101=""),"",IF(H101&lt;=0,0,MAX(0,'Aging Summary'!$Z$1-E101)))</f>
        <v/>
      </c>
      <c r="J101" s="24" t="str">
        <f aca="false">IF(H101="","",IF(H101&lt;=0,"Paid",IF(OR(I101="",I101=0),"Current",IF(I101&lt;=30,"Up to one month past due",IF(I101&lt;=60,"One to two months past due",IF(I101&lt;=90,"Two to three months past due","Over three months past due"))))))</f>
        <v/>
      </c>
      <c r="K101" s="24" t="str">
        <f aca="false">IF(J101="","",IF(J101="Paid","None: closed",IF(J101="Current","Schedule for next payment run",IF(J101="Up to one month past due","Pay this week",IF(J101="One to two months past due","Contact vendor and confirm balance","Escalate and check for dispute")))))</f>
        <v/>
      </c>
      <c r="L101" s="24"/>
    </row>
    <row r="102" customFormat="false" ht="15" hidden="false" customHeight="false" outlineLevel="0" collapsed="false">
      <c r="A102" s="28"/>
      <c r="B102" s="28"/>
      <c r="C102" s="29"/>
      <c r="D102" s="28"/>
      <c r="E102" s="29" t="str">
        <f aca="false">IF(OR(C102="",D102=""),"",C102+D102)</f>
        <v/>
      </c>
      <c r="F102" s="30"/>
      <c r="G102" s="30"/>
      <c r="H102" s="30" t="str">
        <f aca="false">IF(F102="","",F102-N(G102))</f>
        <v/>
      </c>
      <c r="I102" s="31" t="str">
        <f aca="false">IF(OR(H102="",E102=""),"",IF(H102&lt;=0,0,MAX(0,'Aging Summary'!$Z$1-E102)))</f>
        <v/>
      </c>
      <c r="J102" s="28" t="str">
        <f aca="false">IF(H102="","",IF(H102&lt;=0,"Paid",IF(OR(I102="",I102=0),"Current",IF(I102&lt;=30,"Up to one month past due",IF(I102&lt;=60,"One to two months past due",IF(I102&lt;=90,"Two to three months past due","Over three months past due"))))))</f>
        <v/>
      </c>
      <c r="K102" s="28" t="str">
        <f aca="false">IF(J102="","",IF(J102="Paid","None: closed",IF(J102="Current","Schedule for next payment run",IF(J102="Up to one month past due","Pay this week",IF(J102="One to two months past due","Contact vendor and confirm balance","Escalate and check for dispute")))))</f>
        <v/>
      </c>
      <c r="L102" s="28"/>
    </row>
    <row r="103" customFormat="false" ht="15" hidden="false" customHeight="false" outlineLevel="0" collapsed="false">
      <c r="A103" s="24"/>
      <c r="B103" s="24"/>
      <c r="C103" s="25"/>
      <c r="D103" s="24"/>
      <c r="E103" s="25" t="str">
        <f aca="false">IF(OR(C103="",D103=""),"",C103+D103)</f>
        <v/>
      </c>
      <c r="F103" s="26"/>
      <c r="G103" s="26"/>
      <c r="H103" s="26" t="str">
        <f aca="false">IF(F103="","",F103-N(G103))</f>
        <v/>
      </c>
      <c r="I103" s="27" t="str">
        <f aca="false">IF(OR(H103="",E103=""),"",IF(H103&lt;=0,0,MAX(0,'Aging Summary'!$Z$1-E103)))</f>
        <v/>
      </c>
      <c r="J103" s="24" t="str">
        <f aca="false">IF(H103="","",IF(H103&lt;=0,"Paid",IF(OR(I103="",I103=0),"Current",IF(I103&lt;=30,"Up to one month past due",IF(I103&lt;=60,"One to two months past due",IF(I103&lt;=90,"Two to three months past due","Over three months past due"))))))</f>
        <v/>
      </c>
      <c r="K103" s="24" t="str">
        <f aca="false">IF(J103="","",IF(J103="Paid","None: closed",IF(J103="Current","Schedule for next payment run",IF(J103="Up to one month past due","Pay this week",IF(J103="One to two months past due","Contact vendor and confirm balance","Escalate and check for dispute")))))</f>
        <v/>
      </c>
      <c r="L103" s="24"/>
    </row>
    <row r="104" customFormat="false" ht="15" hidden="false" customHeight="false" outlineLevel="0" collapsed="false">
      <c r="A104" s="28"/>
      <c r="B104" s="28"/>
      <c r="C104" s="29"/>
      <c r="D104" s="28"/>
      <c r="E104" s="29" t="str">
        <f aca="false">IF(OR(C104="",D104=""),"",C104+D104)</f>
        <v/>
      </c>
      <c r="F104" s="30"/>
      <c r="G104" s="30"/>
      <c r="H104" s="30" t="str">
        <f aca="false">IF(F104="","",F104-N(G104))</f>
        <v/>
      </c>
      <c r="I104" s="31" t="str">
        <f aca="false">IF(OR(H104="",E104=""),"",IF(H104&lt;=0,0,MAX(0,'Aging Summary'!$Z$1-E104)))</f>
        <v/>
      </c>
      <c r="J104" s="28" t="str">
        <f aca="false">IF(H104="","",IF(H104&lt;=0,"Paid",IF(OR(I104="",I104=0),"Current",IF(I104&lt;=30,"Up to one month past due",IF(I104&lt;=60,"One to two months past due",IF(I104&lt;=90,"Two to three months past due","Over three months past due"))))))</f>
        <v/>
      </c>
      <c r="K104" s="28" t="str">
        <f aca="false">IF(J104="","",IF(J104="Paid","None: closed",IF(J104="Current","Schedule for next payment run",IF(J104="Up to one month past due","Pay this week",IF(J104="One to two months past due","Contact vendor and confirm balance","Escalate and check for dispute")))))</f>
        <v/>
      </c>
      <c r="L104" s="28"/>
    </row>
    <row r="105" customFormat="false" ht="15" hidden="false" customHeight="false" outlineLevel="0" collapsed="false">
      <c r="A105" s="24"/>
      <c r="B105" s="24"/>
      <c r="C105" s="25"/>
      <c r="D105" s="24"/>
      <c r="E105" s="25" t="str">
        <f aca="false">IF(OR(C105="",D105=""),"",C105+D105)</f>
        <v/>
      </c>
      <c r="F105" s="26"/>
      <c r="G105" s="26"/>
      <c r="H105" s="26" t="str">
        <f aca="false">IF(F105="","",F105-N(G105))</f>
        <v/>
      </c>
      <c r="I105" s="27" t="str">
        <f aca="false">IF(OR(H105="",E105=""),"",IF(H105&lt;=0,0,MAX(0,'Aging Summary'!$Z$1-E105)))</f>
        <v/>
      </c>
      <c r="J105" s="24" t="str">
        <f aca="false">IF(H105="","",IF(H105&lt;=0,"Paid",IF(OR(I105="",I105=0),"Current",IF(I105&lt;=30,"Up to one month past due",IF(I105&lt;=60,"One to two months past due",IF(I105&lt;=90,"Two to three months past due","Over three months past due"))))))</f>
        <v/>
      </c>
      <c r="K105" s="24" t="str">
        <f aca="false">IF(J105="","",IF(J105="Paid","None: closed",IF(J105="Current","Schedule for next payment run",IF(J105="Up to one month past due","Pay this week",IF(J105="One to two months past due","Contact vendor and confirm balance","Escalate and check for dispute")))))</f>
        <v/>
      </c>
      <c r="L105" s="24"/>
    </row>
    <row r="106" customFormat="false" ht="15" hidden="false" customHeight="false" outlineLevel="0" collapsed="false">
      <c r="A106" s="28"/>
      <c r="B106" s="28"/>
      <c r="C106" s="29"/>
      <c r="D106" s="28"/>
      <c r="E106" s="29" t="str">
        <f aca="false">IF(OR(C106="",D106=""),"",C106+D106)</f>
        <v/>
      </c>
      <c r="F106" s="30"/>
      <c r="G106" s="30"/>
      <c r="H106" s="30" t="str">
        <f aca="false">IF(F106="","",F106-N(G106))</f>
        <v/>
      </c>
      <c r="I106" s="31" t="str">
        <f aca="false">IF(OR(H106="",E106=""),"",IF(H106&lt;=0,0,MAX(0,'Aging Summary'!$Z$1-E106)))</f>
        <v/>
      </c>
      <c r="J106" s="28" t="str">
        <f aca="false">IF(H106="","",IF(H106&lt;=0,"Paid",IF(OR(I106="",I106=0),"Current",IF(I106&lt;=30,"Up to one month past due",IF(I106&lt;=60,"One to two months past due",IF(I106&lt;=90,"Two to three months past due","Over three months past due"))))))</f>
        <v/>
      </c>
      <c r="K106" s="28" t="str">
        <f aca="false">IF(J106="","",IF(J106="Paid","None: closed",IF(J106="Current","Schedule for next payment run",IF(J106="Up to one month past due","Pay this week",IF(J106="One to two months past due","Contact vendor and confirm balance","Escalate and check for dispute")))))</f>
        <v/>
      </c>
      <c r="L106" s="28"/>
    </row>
    <row r="107" customFormat="false" ht="15" hidden="false" customHeight="false" outlineLevel="0" collapsed="false">
      <c r="A107" s="24"/>
      <c r="B107" s="24"/>
      <c r="C107" s="25"/>
      <c r="D107" s="24"/>
      <c r="E107" s="25" t="str">
        <f aca="false">IF(OR(C107="",D107=""),"",C107+D107)</f>
        <v/>
      </c>
      <c r="F107" s="26"/>
      <c r="G107" s="26"/>
      <c r="H107" s="26" t="str">
        <f aca="false">IF(F107="","",F107-N(G107))</f>
        <v/>
      </c>
      <c r="I107" s="27" t="str">
        <f aca="false">IF(OR(H107="",E107=""),"",IF(H107&lt;=0,0,MAX(0,'Aging Summary'!$Z$1-E107)))</f>
        <v/>
      </c>
      <c r="J107" s="24" t="str">
        <f aca="false">IF(H107="","",IF(H107&lt;=0,"Paid",IF(OR(I107="",I107=0),"Current",IF(I107&lt;=30,"Up to one month past due",IF(I107&lt;=60,"One to two months past due",IF(I107&lt;=90,"Two to three months past due","Over three months past due"))))))</f>
        <v/>
      </c>
      <c r="K107" s="24" t="str">
        <f aca="false">IF(J107="","",IF(J107="Paid","None: closed",IF(J107="Current","Schedule for next payment run",IF(J107="Up to one month past due","Pay this week",IF(J107="One to two months past due","Contact vendor and confirm balance","Escalate and check for dispute")))))</f>
        <v/>
      </c>
      <c r="L107" s="24"/>
    </row>
    <row r="108" customFormat="false" ht="15" hidden="false" customHeight="false" outlineLevel="0" collapsed="false">
      <c r="A108" s="28"/>
      <c r="B108" s="28"/>
      <c r="C108" s="29"/>
      <c r="D108" s="28"/>
      <c r="E108" s="29" t="str">
        <f aca="false">IF(OR(C108="",D108=""),"",C108+D108)</f>
        <v/>
      </c>
      <c r="F108" s="30"/>
      <c r="G108" s="30"/>
      <c r="H108" s="30" t="str">
        <f aca="false">IF(F108="","",F108-N(G108))</f>
        <v/>
      </c>
      <c r="I108" s="31" t="str">
        <f aca="false">IF(OR(H108="",E108=""),"",IF(H108&lt;=0,0,MAX(0,'Aging Summary'!$Z$1-E108)))</f>
        <v/>
      </c>
      <c r="J108" s="28" t="str">
        <f aca="false">IF(H108="","",IF(H108&lt;=0,"Paid",IF(OR(I108="",I108=0),"Current",IF(I108&lt;=30,"Up to one month past due",IF(I108&lt;=60,"One to two months past due",IF(I108&lt;=90,"Two to three months past due","Over three months past due"))))))</f>
        <v/>
      </c>
      <c r="K108" s="28" t="str">
        <f aca="false">IF(J108="","",IF(J108="Paid","None: closed",IF(J108="Current","Schedule for next payment run",IF(J108="Up to one month past due","Pay this week",IF(J108="One to two months past due","Contact vendor and confirm balance","Escalate and check for dispute")))))</f>
        <v/>
      </c>
      <c r="L108" s="28"/>
    </row>
    <row r="109" customFormat="false" ht="15" hidden="false" customHeight="false" outlineLevel="0" collapsed="false">
      <c r="A109" s="24"/>
      <c r="B109" s="24"/>
      <c r="C109" s="25"/>
      <c r="D109" s="24"/>
      <c r="E109" s="25" t="str">
        <f aca="false">IF(OR(C109="",D109=""),"",C109+D109)</f>
        <v/>
      </c>
      <c r="F109" s="26"/>
      <c r="G109" s="26"/>
      <c r="H109" s="26" t="str">
        <f aca="false">IF(F109="","",F109-N(G109))</f>
        <v/>
      </c>
      <c r="I109" s="27" t="str">
        <f aca="false">IF(OR(H109="",E109=""),"",IF(H109&lt;=0,0,MAX(0,'Aging Summary'!$Z$1-E109)))</f>
        <v/>
      </c>
      <c r="J109" s="24" t="str">
        <f aca="false">IF(H109="","",IF(H109&lt;=0,"Paid",IF(OR(I109="",I109=0),"Current",IF(I109&lt;=30,"Up to one month past due",IF(I109&lt;=60,"One to two months past due",IF(I109&lt;=90,"Two to three months past due","Over three months past due"))))))</f>
        <v/>
      </c>
      <c r="K109" s="24" t="str">
        <f aca="false">IF(J109="","",IF(J109="Paid","None: closed",IF(J109="Current","Schedule for next payment run",IF(J109="Up to one month past due","Pay this week",IF(J109="One to two months past due","Contact vendor and confirm balance","Escalate and check for dispute")))))</f>
        <v/>
      </c>
      <c r="L109" s="24"/>
    </row>
    <row r="110" customFormat="false" ht="15" hidden="false" customHeight="false" outlineLevel="0" collapsed="false">
      <c r="A110" s="28"/>
      <c r="B110" s="28"/>
      <c r="C110" s="29"/>
      <c r="D110" s="28"/>
      <c r="E110" s="29" t="str">
        <f aca="false">IF(OR(C110="",D110=""),"",C110+D110)</f>
        <v/>
      </c>
      <c r="F110" s="30"/>
      <c r="G110" s="30"/>
      <c r="H110" s="30" t="str">
        <f aca="false">IF(F110="","",F110-N(G110))</f>
        <v/>
      </c>
      <c r="I110" s="31" t="str">
        <f aca="false">IF(OR(H110="",E110=""),"",IF(H110&lt;=0,0,MAX(0,'Aging Summary'!$Z$1-E110)))</f>
        <v/>
      </c>
      <c r="J110" s="28" t="str">
        <f aca="false">IF(H110="","",IF(H110&lt;=0,"Paid",IF(OR(I110="",I110=0),"Current",IF(I110&lt;=30,"Up to one month past due",IF(I110&lt;=60,"One to two months past due",IF(I110&lt;=90,"Two to three months past due","Over three months past due"))))))</f>
        <v/>
      </c>
      <c r="K110" s="28" t="str">
        <f aca="false">IF(J110="","",IF(J110="Paid","None: closed",IF(J110="Current","Schedule for next payment run",IF(J110="Up to one month past due","Pay this week",IF(J110="One to two months past due","Contact vendor and confirm balance","Escalate and check for dispute")))))</f>
        <v/>
      </c>
      <c r="L110" s="28"/>
    </row>
    <row r="111" customFormat="false" ht="15" hidden="false" customHeight="false" outlineLevel="0" collapsed="false">
      <c r="A111" s="24"/>
      <c r="B111" s="24"/>
      <c r="C111" s="25"/>
      <c r="D111" s="24"/>
      <c r="E111" s="25" t="str">
        <f aca="false">IF(OR(C111="",D111=""),"",C111+D111)</f>
        <v/>
      </c>
      <c r="F111" s="26"/>
      <c r="G111" s="26"/>
      <c r="H111" s="26" t="str">
        <f aca="false">IF(F111="","",F111-N(G111))</f>
        <v/>
      </c>
      <c r="I111" s="27" t="str">
        <f aca="false">IF(OR(H111="",E111=""),"",IF(H111&lt;=0,0,MAX(0,'Aging Summary'!$Z$1-E111)))</f>
        <v/>
      </c>
      <c r="J111" s="24" t="str">
        <f aca="false">IF(H111="","",IF(H111&lt;=0,"Paid",IF(OR(I111="",I111=0),"Current",IF(I111&lt;=30,"Up to one month past due",IF(I111&lt;=60,"One to two months past due",IF(I111&lt;=90,"Two to three months past due","Over three months past due"))))))</f>
        <v/>
      </c>
      <c r="K111" s="24" t="str">
        <f aca="false">IF(J111="","",IF(J111="Paid","None: closed",IF(J111="Current","Schedule for next payment run",IF(J111="Up to one month past due","Pay this week",IF(J111="One to two months past due","Contact vendor and confirm balance","Escalate and check for dispute")))))</f>
        <v/>
      </c>
      <c r="L111" s="24"/>
    </row>
    <row r="112" customFormat="false" ht="15" hidden="false" customHeight="false" outlineLevel="0" collapsed="false">
      <c r="A112" s="28"/>
      <c r="B112" s="28"/>
      <c r="C112" s="29"/>
      <c r="D112" s="28"/>
      <c r="E112" s="29" t="str">
        <f aca="false">IF(OR(C112="",D112=""),"",C112+D112)</f>
        <v/>
      </c>
      <c r="F112" s="30"/>
      <c r="G112" s="30"/>
      <c r="H112" s="30" t="str">
        <f aca="false">IF(F112="","",F112-N(G112))</f>
        <v/>
      </c>
      <c r="I112" s="31" t="str">
        <f aca="false">IF(OR(H112="",E112=""),"",IF(H112&lt;=0,0,MAX(0,'Aging Summary'!$Z$1-E112)))</f>
        <v/>
      </c>
      <c r="J112" s="28" t="str">
        <f aca="false">IF(H112="","",IF(H112&lt;=0,"Paid",IF(OR(I112="",I112=0),"Current",IF(I112&lt;=30,"Up to one month past due",IF(I112&lt;=60,"One to two months past due",IF(I112&lt;=90,"Two to three months past due","Over three months past due"))))))</f>
        <v/>
      </c>
      <c r="K112" s="28" t="str">
        <f aca="false">IF(J112="","",IF(J112="Paid","None: closed",IF(J112="Current","Schedule for next payment run",IF(J112="Up to one month past due","Pay this week",IF(J112="One to two months past due","Contact vendor and confirm balance","Escalate and check for dispute")))))</f>
        <v/>
      </c>
      <c r="L112" s="28"/>
    </row>
    <row r="113" customFormat="false" ht="15" hidden="false" customHeight="false" outlineLevel="0" collapsed="false">
      <c r="A113" s="24"/>
      <c r="B113" s="24"/>
      <c r="C113" s="25"/>
      <c r="D113" s="24"/>
      <c r="E113" s="25" t="str">
        <f aca="false">IF(OR(C113="",D113=""),"",C113+D113)</f>
        <v/>
      </c>
      <c r="F113" s="26"/>
      <c r="G113" s="26"/>
      <c r="H113" s="26" t="str">
        <f aca="false">IF(F113="","",F113-N(G113))</f>
        <v/>
      </c>
      <c r="I113" s="27" t="str">
        <f aca="false">IF(OR(H113="",E113=""),"",IF(H113&lt;=0,0,MAX(0,'Aging Summary'!$Z$1-E113)))</f>
        <v/>
      </c>
      <c r="J113" s="24" t="str">
        <f aca="false">IF(H113="","",IF(H113&lt;=0,"Paid",IF(OR(I113="",I113=0),"Current",IF(I113&lt;=30,"Up to one month past due",IF(I113&lt;=60,"One to two months past due",IF(I113&lt;=90,"Two to three months past due","Over three months past due"))))))</f>
        <v/>
      </c>
      <c r="K113" s="24" t="str">
        <f aca="false">IF(J113="","",IF(J113="Paid","None: closed",IF(J113="Current","Schedule for next payment run",IF(J113="Up to one month past due","Pay this week",IF(J113="One to two months past due","Contact vendor and confirm balance","Escalate and check for dispute")))))</f>
        <v/>
      </c>
      <c r="L113" s="24"/>
    </row>
    <row r="114" customFormat="false" ht="15" hidden="false" customHeight="false" outlineLevel="0" collapsed="false">
      <c r="A114" s="28"/>
      <c r="B114" s="28"/>
      <c r="C114" s="29"/>
      <c r="D114" s="28"/>
      <c r="E114" s="29" t="str">
        <f aca="false">IF(OR(C114="",D114=""),"",C114+D114)</f>
        <v/>
      </c>
      <c r="F114" s="30"/>
      <c r="G114" s="30"/>
      <c r="H114" s="30" t="str">
        <f aca="false">IF(F114="","",F114-N(G114))</f>
        <v/>
      </c>
      <c r="I114" s="31" t="str">
        <f aca="false">IF(OR(H114="",E114=""),"",IF(H114&lt;=0,0,MAX(0,'Aging Summary'!$Z$1-E114)))</f>
        <v/>
      </c>
      <c r="J114" s="28" t="str">
        <f aca="false">IF(H114="","",IF(H114&lt;=0,"Paid",IF(OR(I114="",I114=0),"Current",IF(I114&lt;=30,"Up to one month past due",IF(I114&lt;=60,"One to two months past due",IF(I114&lt;=90,"Two to three months past due","Over three months past due"))))))</f>
        <v/>
      </c>
      <c r="K114" s="28" t="str">
        <f aca="false">IF(J114="","",IF(J114="Paid","None: closed",IF(J114="Current","Schedule for next payment run",IF(J114="Up to one month past due","Pay this week",IF(J114="One to two months past due","Contact vendor and confirm balance","Escalate and check for dispute")))))</f>
        <v/>
      </c>
      <c r="L114" s="28"/>
    </row>
    <row r="115" customFormat="false" ht="15" hidden="false" customHeight="false" outlineLevel="0" collapsed="false">
      <c r="A115" s="24"/>
      <c r="B115" s="24"/>
      <c r="C115" s="25"/>
      <c r="D115" s="24"/>
      <c r="E115" s="25" t="str">
        <f aca="false">IF(OR(C115="",D115=""),"",C115+D115)</f>
        <v/>
      </c>
      <c r="F115" s="26"/>
      <c r="G115" s="26"/>
      <c r="H115" s="26" t="str">
        <f aca="false">IF(F115="","",F115-N(G115))</f>
        <v/>
      </c>
      <c r="I115" s="27" t="str">
        <f aca="false">IF(OR(H115="",E115=""),"",IF(H115&lt;=0,0,MAX(0,'Aging Summary'!$Z$1-E115)))</f>
        <v/>
      </c>
      <c r="J115" s="24" t="str">
        <f aca="false">IF(H115="","",IF(H115&lt;=0,"Paid",IF(OR(I115="",I115=0),"Current",IF(I115&lt;=30,"Up to one month past due",IF(I115&lt;=60,"One to two months past due",IF(I115&lt;=90,"Two to three months past due","Over three months past due"))))))</f>
        <v/>
      </c>
      <c r="K115" s="24" t="str">
        <f aca="false">IF(J115="","",IF(J115="Paid","None: closed",IF(J115="Current","Schedule for next payment run",IF(J115="Up to one month past due","Pay this week",IF(J115="One to two months past due","Contact vendor and confirm balance","Escalate and check for dispute")))))</f>
        <v/>
      </c>
      <c r="L115" s="24"/>
    </row>
    <row r="116" customFormat="false" ht="15" hidden="false" customHeight="false" outlineLevel="0" collapsed="false">
      <c r="A116" s="28"/>
      <c r="B116" s="28"/>
      <c r="C116" s="29"/>
      <c r="D116" s="28"/>
      <c r="E116" s="29" t="str">
        <f aca="false">IF(OR(C116="",D116=""),"",C116+D116)</f>
        <v/>
      </c>
      <c r="F116" s="30"/>
      <c r="G116" s="30"/>
      <c r="H116" s="30" t="str">
        <f aca="false">IF(F116="","",F116-N(G116))</f>
        <v/>
      </c>
      <c r="I116" s="31" t="str">
        <f aca="false">IF(OR(H116="",E116=""),"",IF(H116&lt;=0,0,MAX(0,'Aging Summary'!$Z$1-E116)))</f>
        <v/>
      </c>
      <c r="J116" s="28" t="str">
        <f aca="false">IF(H116="","",IF(H116&lt;=0,"Paid",IF(OR(I116="",I116=0),"Current",IF(I116&lt;=30,"Up to one month past due",IF(I116&lt;=60,"One to two months past due",IF(I116&lt;=90,"Two to three months past due","Over three months past due"))))))</f>
        <v/>
      </c>
      <c r="K116" s="28" t="str">
        <f aca="false">IF(J116="","",IF(J116="Paid","None: closed",IF(J116="Current","Schedule for next payment run",IF(J116="Up to one month past due","Pay this week",IF(J116="One to two months past due","Contact vendor and confirm balance","Escalate and check for dispute")))))</f>
        <v/>
      </c>
      <c r="L116" s="28"/>
    </row>
    <row r="117" customFormat="false" ht="15" hidden="false" customHeight="false" outlineLevel="0" collapsed="false">
      <c r="A117" s="24"/>
      <c r="B117" s="24"/>
      <c r="C117" s="25"/>
      <c r="D117" s="24"/>
      <c r="E117" s="25" t="str">
        <f aca="false">IF(OR(C117="",D117=""),"",C117+D117)</f>
        <v/>
      </c>
      <c r="F117" s="26"/>
      <c r="G117" s="26"/>
      <c r="H117" s="26" t="str">
        <f aca="false">IF(F117="","",F117-N(G117))</f>
        <v/>
      </c>
      <c r="I117" s="27" t="str">
        <f aca="false">IF(OR(H117="",E117=""),"",IF(H117&lt;=0,0,MAX(0,'Aging Summary'!$Z$1-E117)))</f>
        <v/>
      </c>
      <c r="J117" s="24" t="str">
        <f aca="false">IF(H117="","",IF(H117&lt;=0,"Paid",IF(OR(I117="",I117=0),"Current",IF(I117&lt;=30,"Up to one month past due",IF(I117&lt;=60,"One to two months past due",IF(I117&lt;=90,"Two to three months past due","Over three months past due"))))))</f>
        <v/>
      </c>
      <c r="K117" s="24" t="str">
        <f aca="false">IF(J117="","",IF(J117="Paid","None: closed",IF(J117="Current","Schedule for next payment run",IF(J117="Up to one month past due","Pay this week",IF(J117="One to two months past due","Contact vendor and confirm balance","Escalate and check for dispute")))))</f>
        <v/>
      </c>
      <c r="L117" s="24"/>
    </row>
    <row r="118" customFormat="false" ht="15" hidden="false" customHeight="false" outlineLevel="0" collapsed="false">
      <c r="A118" s="28"/>
      <c r="B118" s="28"/>
      <c r="C118" s="29"/>
      <c r="D118" s="28"/>
      <c r="E118" s="29" t="str">
        <f aca="false">IF(OR(C118="",D118=""),"",C118+D118)</f>
        <v/>
      </c>
      <c r="F118" s="30"/>
      <c r="G118" s="30"/>
      <c r="H118" s="30" t="str">
        <f aca="false">IF(F118="","",F118-N(G118))</f>
        <v/>
      </c>
      <c r="I118" s="31" t="str">
        <f aca="false">IF(OR(H118="",E118=""),"",IF(H118&lt;=0,0,MAX(0,'Aging Summary'!$Z$1-E118)))</f>
        <v/>
      </c>
      <c r="J118" s="28" t="str">
        <f aca="false">IF(H118="","",IF(H118&lt;=0,"Paid",IF(OR(I118="",I118=0),"Current",IF(I118&lt;=30,"Up to one month past due",IF(I118&lt;=60,"One to two months past due",IF(I118&lt;=90,"Two to three months past due","Over three months past due"))))))</f>
        <v/>
      </c>
      <c r="K118" s="28" t="str">
        <f aca="false">IF(J118="","",IF(J118="Paid","None: closed",IF(J118="Current","Schedule for next payment run",IF(J118="Up to one month past due","Pay this week",IF(J118="One to two months past due","Contact vendor and confirm balance","Escalate and check for dispute")))))</f>
        <v/>
      </c>
      <c r="L118" s="28"/>
    </row>
    <row r="119" customFormat="false" ht="15" hidden="false" customHeight="false" outlineLevel="0" collapsed="false">
      <c r="A119" s="24"/>
      <c r="B119" s="24"/>
      <c r="C119" s="25"/>
      <c r="D119" s="24"/>
      <c r="E119" s="25" t="str">
        <f aca="false">IF(OR(C119="",D119=""),"",C119+D119)</f>
        <v/>
      </c>
      <c r="F119" s="26"/>
      <c r="G119" s="26"/>
      <c r="H119" s="26" t="str">
        <f aca="false">IF(F119="","",F119-N(G119))</f>
        <v/>
      </c>
      <c r="I119" s="27" t="str">
        <f aca="false">IF(OR(H119="",E119=""),"",IF(H119&lt;=0,0,MAX(0,'Aging Summary'!$Z$1-E119)))</f>
        <v/>
      </c>
      <c r="J119" s="24" t="str">
        <f aca="false">IF(H119="","",IF(H119&lt;=0,"Paid",IF(OR(I119="",I119=0),"Current",IF(I119&lt;=30,"Up to one month past due",IF(I119&lt;=60,"One to two months past due",IF(I119&lt;=90,"Two to three months past due","Over three months past due"))))))</f>
        <v/>
      </c>
      <c r="K119" s="24" t="str">
        <f aca="false">IF(J119="","",IF(J119="Paid","None: closed",IF(J119="Current","Schedule for next payment run",IF(J119="Up to one month past due","Pay this week",IF(J119="One to two months past due","Contact vendor and confirm balance","Escalate and check for dispute")))))</f>
        <v/>
      </c>
      <c r="L119" s="24"/>
    </row>
    <row r="120" customFormat="false" ht="15" hidden="false" customHeight="false" outlineLevel="0" collapsed="false">
      <c r="A120" s="28"/>
      <c r="B120" s="28"/>
      <c r="C120" s="29"/>
      <c r="D120" s="28"/>
      <c r="E120" s="29" t="str">
        <f aca="false">IF(OR(C120="",D120=""),"",C120+D120)</f>
        <v/>
      </c>
      <c r="F120" s="30"/>
      <c r="G120" s="30"/>
      <c r="H120" s="30" t="str">
        <f aca="false">IF(F120="","",F120-N(G120))</f>
        <v/>
      </c>
      <c r="I120" s="31" t="str">
        <f aca="false">IF(OR(H120="",E120=""),"",IF(H120&lt;=0,0,MAX(0,'Aging Summary'!$Z$1-E120)))</f>
        <v/>
      </c>
      <c r="J120" s="28" t="str">
        <f aca="false">IF(H120="","",IF(H120&lt;=0,"Paid",IF(OR(I120="",I120=0),"Current",IF(I120&lt;=30,"Up to one month past due",IF(I120&lt;=60,"One to two months past due",IF(I120&lt;=90,"Two to three months past due","Over three months past due"))))))</f>
        <v/>
      </c>
      <c r="K120" s="28" t="str">
        <f aca="false">IF(J120="","",IF(J120="Paid","None: closed",IF(J120="Current","Schedule for next payment run",IF(J120="Up to one month past due","Pay this week",IF(J120="One to two months past due","Contact vendor and confirm balance","Escalate and check for dispute")))))</f>
        <v/>
      </c>
      <c r="L120" s="28"/>
    </row>
    <row r="121" customFormat="false" ht="15" hidden="false" customHeight="false" outlineLevel="0" collapsed="false">
      <c r="A121" s="24"/>
      <c r="B121" s="24"/>
      <c r="C121" s="25"/>
      <c r="D121" s="24"/>
      <c r="E121" s="25" t="str">
        <f aca="false">IF(OR(C121="",D121=""),"",C121+D121)</f>
        <v/>
      </c>
      <c r="F121" s="26"/>
      <c r="G121" s="26"/>
      <c r="H121" s="26" t="str">
        <f aca="false">IF(F121="","",F121-N(G121))</f>
        <v/>
      </c>
      <c r="I121" s="27" t="str">
        <f aca="false">IF(OR(H121="",E121=""),"",IF(H121&lt;=0,0,MAX(0,'Aging Summary'!$Z$1-E121)))</f>
        <v/>
      </c>
      <c r="J121" s="24" t="str">
        <f aca="false">IF(H121="","",IF(H121&lt;=0,"Paid",IF(OR(I121="",I121=0),"Current",IF(I121&lt;=30,"Up to one month past due",IF(I121&lt;=60,"One to two months past due",IF(I121&lt;=90,"Two to three months past due","Over three months past due"))))))</f>
        <v/>
      </c>
      <c r="K121" s="24" t="str">
        <f aca="false">IF(J121="","",IF(J121="Paid","None: closed",IF(J121="Current","Schedule for next payment run",IF(J121="Up to one month past due","Pay this week",IF(J121="One to two months past due","Contact vendor and confirm balance","Escalate and check for dispute")))))</f>
        <v/>
      </c>
      <c r="L121" s="24"/>
    </row>
    <row r="122" customFormat="false" ht="15" hidden="false" customHeight="false" outlineLevel="0" collapsed="false">
      <c r="A122" s="28"/>
      <c r="B122" s="28"/>
      <c r="C122" s="29"/>
      <c r="D122" s="28"/>
      <c r="E122" s="29" t="str">
        <f aca="false">IF(OR(C122="",D122=""),"",C122+D122)</f>
        <v/>
      </c>
      <c r="F122" s="30"/>
      <c r="G122" s="30"/>
      <c r="H122" s="30" t="str">
        <f aca="false">IF(F122="","",F122-N(G122))</f>
        <v/>
      </c>
      <c r="I122" s="31" t="str">
        <f aca="false">IF(OR(H122="",E122=""),"",IF(H122&lt;=0,0,MAX(0,'Aging Summary'!$Z$1-E122)))</f>
        <v/>
      </c>
      <c r="J122" s="28" t="str">
        <f aca="false">IF(H122="","",IF(H122&lt;=0,"Paid",IF(OR(I122="",I122=0),"Current",IF(I122&lt;=30,"Up to one month past due",IF(I122&lt;=60,"One to two months past due",IF(I122&lt;=90,"Two to three months past due","Over three months past due"))))))</f>
        <v/>
      </c>
      <c r="K122" s="28" t="str">
        <f aca="false">IF(J122="","",IF(J122="Paid","None: closed",IF(J122="Current","Schedule for next payment run",IF(J122="Up to one month past due","Pay this week",IF(J122="One to two months past due","Contact vendor and confirm balance","Escalate and check for dispute")))))</f>
        <v/>
      </c>
      <c r="L122" s="28"/>
    </row>
    <row r="123" customFormat="false" ht="15" hidden="false" customHeight="false" outlineLevel="0" collapsed="false">
      <c r="A123" s="24"/>
      <c r="B123" s="24"/>
      <c r="C123" s="25"/>
      <c r="D123" s="24"/>
      <c r="E123" s="25" t="str">
        <f aca="false">IF(OR(C123="",D123=""),"",C123+D123)</f>
        <v/>
      </c>
      <c r="F123" s="26"/>
      <c r="G123" s="26"/>
      <c r="H123" s="26" t="str">
        <f aca="false">IF(F123="","",F123-N(G123))</f>
        <v/>
      </c>
      <c r="I123" s="27" t="str">
        <f aca="false">IF(OR(H123="",E123=""),"",IF(H123&lt;=0,0,MAX(0,'Aging Summary'!$Z$1-E123)))</f>
        <v/>
      </c>
      <c r="J123" s="24" t="str">
        <f aca="false">IF(H123="","",IF(H123&lt;=0,"Paid",IF(OR(I123="",I123=0),"Current",IF(I123&lt;=30,"Up to one month past due",IF(I123&lt;=60,"One to two months past due",IF(I123&lt;=90,"Two to three months past due","Over three months past due"))))))</f>
        <v/>
      </c>
      <c r="K123" s="24" t="str">
        <f aca="false">IF(J123="","",IF(J123="Paid","None: closed",IF(J123="Current","Schedule for next payment run",IF(J123="Up to one month past due","Pay this week",IF(J123="One to two months past due","Contact vendor and confirm balance","Escalate and check for dispute")))))</f>
        <v/>
      </c>
      <c r="L123" s="24"/>
    </row>
    <row r="124" customFormat="false" ht="15" hidden="false" customHeight="false" outlineLevel="0" collapsed="false">
      <c r="A124" s="28"/>
      <c r="B124" s="28"/>
      <c r="C124" s="29"/>
      <c r="D124" s="28"/>
      <c r="E124" s="29" t="str">
        <f aca="false">IF(OR(C124="",D124=""),"",C124+D124)</f>
        <v/>
      </c>
      <c r="F124" s="30"/>
      <c r="G124" s="30"/>
      <c r="H124" s="30" t="str">
        <f aca="false">IF(F124="","",F124-N(G124))</f>
        <v/>
      </c>
      <c r="I124" s="31" t="str">
        <f aca="false">IF(OR(H124="",E124=""),"",IF(H124&lt;=0,0,MAX(0,'Aging Summary'!$Z$1-E124)))</f>
        <v/>
      </c>
      <c r="J124" s="28" t="str">
        <f aca="false">IF(H124="","",IF(H124&lt;=0,"Paid",IF(OR(I124="",I124=0),"Current",IF(I124&lt;=30,"Up to one month past due",IF(I124&lt;=60,"One to two months past due",IF(I124&lt;=90,"Two to three months past due","Over three months past due"))))))</f>
        <v/>
      </c>
      <c r="K124" s="28" t="str">
        <f aca="false">IF(J124="","",IF(J124="Paid","None: closed",IF(J124="Current","Schedule for next payment run",IF(J124="Up to one month past due","Pay this week",IF(J124="One to two months past due","Contact vendor and confirm balance","Escalate and check for dispute")))))</f>
        <v/>
      </c>
      <c r="L124" s="28"/>
    </row>
    <row r="125" customFormat="false" ht="15" hidden="false" customHeight="false" outlineLevel="0" collapsed="false">
      <c r="A125" s="24"/>
      <c r="B125" s="24"/>
      <c r="C125" s="25"/>
      <c r="D125" s="24"/>
      <c r="E125" s="25" t="str">
        <f aca="false">IF(OR(C125="",D125=""),"",C125+D125)</f>
        <v/>
      </c>
      <c r="F125" s="26"/>
      <c r="G125" s="26"/>
      <c r="H125" s="26" t="str">
        <f aca="false">IF(F125="","",F125-N(G125))</f>
        <v/>
      </c>
      <c r="I125" s="27" t="str">
        <f aca="false">IF(OR(H125="",E125=""),"",IF(H125&lt;=0,0,MAX(0,'Aging Summary'!$Z$1-E125)))</f>
        <v/>
      </c>
      <c r="J125" s="24" t="str">
        <f aca="false">IF(H125="","",IF(H125&lt;=0,"Paid",IF(OR(I125="",I125=0),"Current",IF(I125&lt;=30,"Up to one month past due",IF(I125&lt;=60,"One to two months past due",IF(I125&lt;=90,"Two to three months past due","Over three months past due"))))))</f>
        <v/>
      </c>
      <c r="K125" s="24" t="str">
        <f aca="false">IF(J125="","",IF(J125="Paid","None: closed",IF(J125="Current","Schedule for next payment run",IF(J125="Up to one month past due","Pay this week",IF(J125="One to two months past due","Contact vendor and confirm balance","Escalate and check for dispute")))))</f>
        <v/>
      </c>
      <c r="L125" s="24"/>
    </row>
    <row r="126" customFormat="false" ht="15" hidden="false" customHeight="false" outlineLevel="0" collapsed="false">
      <c r="A126" s="28"/>
      <c r="B126" s="28"/>
      <c r="C126" s="29"/>
      <c r="D126" s="28"/>
      <c r="E126" s="29" t="str">
        <f aca="false">IF(OR(C126="",D126=""),"",C126+D126)</f>
        <v/>
      </c>
      <c r="F126" s="30"/>
      <c r="G126" s="30"/>
      <c r="H126" s="30" t="str">
        <f aca="false">IF(F126="","",F126-N(G126))</f>
        <v/>
      </c>
      <c r="I126" s="31" t="str">
        <f aca="false">IF(OR(H126="",E126=""),"",IF(H126&lt;=0,0,MAX(0,'Aging Summary'!$Z$1-E126)))</f>
        <v/>
      </c>
      <c r="J126" s="28" t="str">
        <f aca="false">IF(H126="","",IF(H126&lt;=0,"Paid",IF(OR(I126="",I126=0),"Current",IF(I126&lt;=30,"Up to one month past due",IF(I126&lt;=60,"One to two months past due",IF(I126&lt;=90,"Two to three months past due","Over three months past due"))))))</f>
        <v/>
      </c>
      <c r="K126" s="28" t="str">
        <f aca="false">IF(J126="","",IF(J126="Paid","None: closed",IF(J126="Current","Schedule for next payment run",IF(J126="Up to one month past due","Pay this week",IF(J126="One to two months past due","Contact vendor and confirm balance","Escalate and check for dispute")))))</f>
        <v/>
      </c>
      <c r="L126" s="28"/>
    </row>
    <row r="127" customFormat="false" ht="15" hidden="false" customHeight="false" outlineLevel="0" collapsed="false">
      <c r="A127" s="24"/>
      <c r="B127" s="24"/>
      <c r="C127" s="25"/>
      <c r="D127" s="24"/>
      <c r="E127" s="25" t="str">
        <f aca="false">IF(OR(C127="",D127=""),"",C127+D127)</f>
        <v/>
      </c>
      <c r="F127" s="26"/>
      <c r="G127" s="26"/>
      <c r="H127" s="26" t="str">
        <f aca="false">IF(F127="","",F127-N(G127))</f>
        <v/>
      </c>
      <c r="I127" s="27" t="str">
        <f aca="false">IF(OR(H127="",E127=""),"",IF(H127&lt;=0,0,MAX(0,'Aging Summary'!$Z$1-E127)))</f>
        <v/>
      </c>
      <c r="J127" s="24" t="str">
        <f aca="false">IF(H127="","",IF(H127&lt;=0,"Paid",IF(OR(I127="",I127=0),"Current",IF(I127&lt;=30,"Up to one month past due",IF(I127&lt;=60,"One to two months past due",IF(I127&lt;=90,"Two to three months past due","Over three months past due"))))))</f>
        <v/>
      </c>
      <c r="K127" s="24" t="str">
        <f aca="false">IF(J127="","",IF(J127="Paid","None: closed",IF(J127="Current","Schedule for next payment run",IF(J127="Up to one month past due","Pay this week",IF(J127="One to two months past due","Contact vendor and confirm balance","Escalate and check for dispute")))))</f>
        <v/>
      </c>
      <c r="L127" s="24"/>
    </row>
    <row r="128" customFormat="false" ht="15" hidden="false" customHeight="false" outlineLevel="0" collapsed="false">
      <c r="A128" s="28"/>
      <c r="B128" s="28"/>
      <c r="C128" s="29"/>
      <c r="D128" s="28"/>
      <c r="E128" s="29" t="str">
        <f aca="false">IF(OR(C128="",D128=""),"",C128+D128)</f>
        <v/>
      </c>
      <c r="F128" s="30"/>
      <c r="G128" s="30"/>
      <c r="H128" s="30" t="str">
        <f aca="false">IF(F128="","",F128-N(G128))</f>
        <v/>
      </c>
      <c r="I128" s="31" t="str">
        <f aca="false">IF(OR(H128="",E128=""),"",IF(H128&lt;=0,0,MAX(0,'Aging Summary'!$Z$1-E128)))</f>
        <v/>
      </c>
      <c r="J128" s="28" t="str">
        <f aca="false">IF(H128="","",IF(H128&lt;=0,"Paid",IF(OR(I128="",I128=0),"Current",IF(I128&lt;=30,"Up to one month past due",IF(I128&lt;=60,"One to two months past due",IF(I128&lt;=90,"Two to three months past due","Over three months past due"))))))</f>
        <v/>
      </c>
      <c r="K128" s="28" t="str">
        <f aca="false">IF(J128="","",IF(J128="Paid","None: closed",IF(J128="Current","Schedule for next payment run",IF(J128="Up to one month past due","Pay this week",IF(J128="One to two months past due","Contact vendor and confirm balance","Escalate and check for dispute")))))</f>
        <v/>
      </c>
      <c r="L128" s="28"/>
    </row>
    <row r="129" customFormat="false" ht="15" hidden="false" customHeight="false" outlineLevel="0" collapsed="false">
      <c r="A129" s="24"/>
      <c r="B129" s="24"/>
      <c r="C129" s="25"/>
      <c r="D129" s="24"/>
      <c r="E129" s="25" t="str">
        <f aca="false">IF(OR(C129="",D129=""),"",C129+D129)</f>
        <v/>
      </c>
      <c r="F129" s="26"/>
      <c r="G129" s="26"/>
      <c r="H129" s="26" t="str">
        <f aca="false">IF(F129="","",F129-N(G129))</f>
        <v/>
      </c>
      <c r="I129" s="27" t="str">
        <f aca="false">IF(OR(H129="",E129=""),"",IF(H129&lt;=0,0,MAX(0,'Aging Summary'!$Z$1-E129)))</f>
        <v/>
      </c>
      <c r="J129" s="24" t="str">
        <f aca="false">IF(H129="","",IF(H129&lt;=0,"Paid",IF(OR(I129="",I129=0),"Current",IF(I129&lt;=30,"Up to one month past due",IF(I129&lt;=60,"One to two months past due",IF(I129&lt;=90,"Two to three months past due","Over three months past due"))))))</f>
        <v/>
      </c>
      <c r="K129" s="24" t="str">
        <f aca="false">IF(J129="","",IF(J129="Paid","None: closed",IF(J129="Current","Schedule for next payment run",IF(J129="Up to one month past due","Pay this week",IF(J129="One to two months past due","Contact vendor and confirm balance","Escalate and check for dispute")))))</f>
        <v/>
      </c>
      <c r="L129" s="24"/>
    </row>
    <row r="130" customFormat="false" ht="15" hidden="false" customHeight="false" outlineLevel="0" collapsed="false">
      <c r="A130" s="28"/>
      <c r="B130" s="28"/>
      <c r="C130" s="29"/>
      <c r="D130" s="28"/>
      <c r="E130" s="29" t="str">
        <f aca="false">IF(OR(C130="",D130=""),"",C130+D130)</f>
        <v/>
      </c>
      <c r="F130" s="30"/>
      <c r="G130" s="30"/>
      <c r="H130" s="30" t="str">
        <f aca="false">IF(F130="","",F130-N(G130))</f>
        <v/>
      </c>
      <c r="I130" s="31" t="str">
        <f aca="false">IF(OR(H130="",E130=""),"",IF(H130&lt;=0,0,MAX(0,'Aging Summary'!$Z$1-E130)))</f>
        <v/>
      </c>
      <c r="J130" s="28" t="str">
        <f aca="false">IF(H130="","",IF(H130&lt;=0,"Paid",IF(OR(I130="",I130=0),"Current",IF(I130&lt;=30,"Up to one month past due",IF(I130&lt;=60,"One to two months past due",IF(I130&lt;=90,"Two to three months past due","Over three months past due"))))))</f>
        <v/>
      </c>
      <c r="K130" s="28" t="str">
        <f aca="false">IF(J130="","",IF(J130="Paid","None: closed",IF(J130="Current","Schedule for next payment run",IF(J130="Up to one month past due","Pay this week",IF(J130="One to two months past due","Contact vendor and confirm balance","Escalate and check for dispute")))))</f>
        <v/>
      </c>
      <c r="L130" s="28"/>
    </row>
    <row r="131" customFormat="false" ht="15" hidden="false" customHeight="false" outlineLevel="0" collapsed="false">
      <c r="A131" s="24"/>
      <c r="B131" s="24"/>
      <c r="C131" s="25"/>
      <c r="D131" s="24"/>
      <c r="E131" s="25" t="str">
        <f aca="false">IF(OR(C131="",D131=""),"",C131+D131)</f>
        <v/>
      </c>
      <c r="F131" s="26"/>
      <c r="G131" s="26"/>
      <c r="H131" s="26" t="str">
        <f aca="false">IF(F131="","",F131-N(G131))</f>
        <v/>
      </c>
      <c r="I131" s="27" t="str">
        <f aca="false">IF(OR(H131="",E131=""),"",IF(H131&lt;=0,0,MAX(0,'Aging Summary'!$Z$1-E131)))</f>
        <v/>
      </c>
      <c r="J131" s="24" t="str">
        <f aca="false">IF(H131="","",IF(H131&lt;=0,"Paid",IF(OR(I131="",I131=0),"Current",IF(I131&lt;=30,"Up to one month past due",IF(I131&lt;=60,"One to two months past due",IF(I131&lt;=90,"Two to three months past due","Over three months past due"))))))</f>
        <v/>
      </c>
      <c r="K131" s="24" t="str">
        <f aca="false">IF(J131="","",IF(J131="Paid","None: closed",IF(J131="Current","Schedule for next payment run",IF(J131="Up to one month past due","Pay this week",IF(J131="One to two months past due","Contact vendor and confirm balance","Escalate and check for dispute")))))</f>
        <v/>
      </c>
      <c r="L131" s="24"/>
    </row>
    <row r="132" customFormat="false" ht="15" hidden="false" customHeight="false" outlineLevel="0" collapsed="false">
      <c r="A132" s="28"/>
      <c r="B132" s="28"/>
      <c r="C132" s="29"/>
      <c r="D132" s="28"/>
      <c r="E132" s="29" t="str">
        <f aca="false">IF(OR(C132="",D132=""),"",C132+D132)</f>
        <v/>
      </c>
      <c r="F132" s="30"/>
      <c r="G132" s="30"/>
      <c r="H132" s="30" t="str">
        <f aca="false">IF(F132="","",F132-N(G132))</f>
        <v/>
      </c>
      <c r="I132" s="31" t="str">
        <f aca="false">IF(OR(H132="",E132=""),"",IF(H132&lt;=0,0,MAX(0,'Aging Summary'!$Z$1-E132)))</f>
        <v/>
      </c>
      <c r="J132" s="28" t="str">
        <f aca="false">IF(H132="","",IF(H132&lt;=0,"Paid",IF(OR(I132="",I132=0),"Current",IF(I132&lt;=30,"Up to one month past due",IF(I132&lt;=60,"One to two months past due",IF(I132&lt;=90,"Two to three months past due","Over three months past due"))))))</f>
        <v/>
      </c>
      <c r="K132" s="28" t="str">
        <f aca="false">IF(J132="","",IF(J132="Paid","None: closed",IF(J132="Current","Schedule for next payment run",IF(J132="Up to one month past due","Pay this week",IF(J132="One to two months past due","Contact vendor and confirm balance","Escalate and check for dispute")))))</f>
        <v/>
      </c>
      <c r="L132" s="28"/>
    </row>
    <row r="133" customFormat="false" ht="15" hidden="false" customHeight="false" outlineLevel="0" collapsed="false">
      <c r="A133" s="24"/>
      <c r="B133" s="24"/>
      <c r="C133" s="25"/>
      <c r="D133" s="24"/>
      <c r="E133" s="25" t="str">
        <f aca="false">IF(OR(C133="",D133=""),"",C133+D133)</f>
        <v/>
      </c>
      <c r="F133" s="26"/>
      <c r="G133" s="26"/>
      <c r="H133" s="26" t="str">
        <f aca="false">IF(F133="","",F133-N(G133))</f>
        <v/>
      </c>
      <c r="I133" s="27" t="str">
        <f aca="false">IF(OR(H133="",E133=""),"",IF(H133&lt;=0,0,MAX(0,'Aging Summary'!$Z$1-E133)))</f>
        <v/>
      </c>
      <c r="J133" s="24" t="str">
        <f aca="false">IF(H133="","",IF(H133&lt;=0,"Paid",IF(OR(I133="",I133=0),"Current",IF(I133&lt;=30,"Up to one month past due",IF(I133&lt;=60,"One to two months past due",IF(I133&lt;=90,"Two to three months past due","Over three months past due"))))))</f>
        <v/>
      </c>
      <c r="K133" s="24" t="str">
        <f aca="false">IF(J133="","",IF(J133="Paid","None: closed",IF(J133="Current","Schedule for next payment run",IF(J133="Up to one month past due","Pay this week",IF(J133="One to two months past due","Contact vendor and confirm balance","Escalate and check for dispute")))))</f>
        <v/>
      </c>
      <c r="L133" s="24"/>
    </row>
    <row r="134" customFormat="false" ht="15" hidden="false" customHeight="false" outlineLevel="0" collapsed="false">
      <c r="A134" s="28"/>
      <c r="B134" s="28"/>
      <c r="C134" s="29"/>
      <c r="D134" s="28"/>
      <c r="E134" s="29" t="str">
        <f aca="false">IF(OR(C134="",D134=""),"",C134+D134)</f>
        <v/>
      </c>
      <c r="F134" s="30"/>
      <c r="G134" s="30"/>
      <c r="H134" s="30" t="str">
        <f aca="false">IF(F134="","",F134-N(G134))</f>
        <v/>
      </c>
      <c r="I134" s="31" t="str">
        <f aca="false">IF(OR(H134="",E134=""),"",IF(H134&lt;=0,0,MAX(0,'Aging Summary'!$Z$1-E134)))</f>
        <v/>
      </c>
      <c r="J134" s="28" t="str">
        <f aca="false">IF(H134="","",IF(H134&lt;=0,"Paid",IF(OR(I134="",I134=0),"Current",IF(I134&lt;=30,"Up to one month past due",IF(I134&lt;=60,"One to two months past due",IF(I134&lt;=90,"Two to three months past due","Over three months past due"))))))</f>
        <v/>
      </c>
      <c r="K134" s="28" t="str">
        <f aca="false">IF(J134="","",IF(J134="Paid","None: closed",IF(J134="Current","Schedule for next payment run",IF(J134="Up to one month past due","Pay this week",IF(J134="One to two months past due","Contact vendor and confirm balance","Escalate and check for dispute")))))</f>
        <v/>
      </c>
      <c r="L134" s="28"/>
    </row>
    <row r="135" customFormat="false" ht="15" hidden="false" customHeight="false" outlineLevel="0" collapsed="false">
      <c r="A135" s="24"/>
      <c r="B135" s="24"/>
      <c r="C135" s="25"/>
      <c r="D135" s="24"/>
      <c r="E135" s="25" t="str">
        <f aca="false">IF(OR(C135="",D135=""),"",C135+D135)</f>
        <v/>
      </c>
      <c r="F135" s="26"/>
      <c r="G135" s="26"/>
      <c r="H135" s="26" t="str">
        <f aca="false">IF(F135="","",F135-N(G135))</f>
        <v/>
      </c>
      <c r="I135" s="27" t="str">
        <f aca="false">IF(OR(H135="",E135=""),"",IF(H135&lt;=0,0,MAX(0,'Aging Summary'!$Z$1-E135)))</f>
        <v/>
      </c>
      <c r="J135" s="24" t="str">
        <f aca="false">IF(H135="","",IF(H135&lt;=0,"Paid",IF(OR(I135="",I135=0),"Current",IF(I135&lt;=30,"Up to one month past due",IF(I135&lt;=60,"One to two months past due",IF(I135&lt;=90,"Two to three months past due","Over three months past due"))))))</f>
        <v/>
      </c>
      <c r="K135" s="24" t="str">
        <f aca="false">IF(J135="","",IF(J135="Paid","None: closed",IF(J135="Current","Schedule for next payment run",IF(J135="Up to one month past due","Pay this week",IF(J135="One to two months past due","Contact vendor and confirm balance","Escalate and check for dispute")))))</f>
        <v/>
      </c>
      <c r="L135" s="24"/>
    </row>
    <row r="136" customFormat="false" ht="15" hidden="false" customHeight="false" outlineLevel="0" collapsed="false">
      <c r="A136" s="28"/>
      <c r="B136" s="28"/>
      <c r="C136" s="29"/>
      <c r="D136" s="28"/>
      <c r="E136" s="29" t="str">
        <f aca="false">IF(OR(C136="",D136=""),"",C136+D136)</f>
        <v/>
      </c>
      <c r="F136" s="30"/>
      <c r="G136" s="30"/>
      <c r="H136" s="30" t="str">
        <f aca="false">IF(F136="","",F136-N(G136))</f>
        <v/>
      </c>
      <c r="I136" s="31" t="str">
        <f aca="false">IF(OR(H136="",E136=""),"",IF(H136&lt;=0,0,MAX(0,'Aging Summary'!$Z$1-E136)))</f>
        <v/>
      </c>
      <c r="J136" s="28" t="str">
        <f aca="false">IF(H136="","",IF(H136&lt;=0,"Paid",IF(OR(I136="",I136=0),"Current",IF(I136&lt;=30,"Up to one month past due",IF(I136&lt;=60,"One to two months past due",IF(I136&lt;=90,"Two to three months past due","Over three months past due"))))))</f>
        <v/>
      </c>
      <c r="K136" s="28" t="str">
        <f aca="false">IF(J136="","",IF(J136="Paid","None: closed",IF(J136="Current","Schedule for next payment run",IF(J136="Up to one month past due","Pay this week",IF(J136="One to two months past due","Contact vendor and confirm balance","Escalate and check for dispute")))))</f>
        <v/>
      </c>
      <c r="L136" s="28"/>
    </row>
    <row r="137" customFormat="false" ht="15" hidden="false" customHeight="false" outlineLevel="0" collapsed="false">
      <c r="A137" s="24"/>
      <c r="B137" s="24"/>
      <c r="C137" s="25"/>
      <c r="D137" s="24"/>
      <c r="E137" s="25" t="str">
        <f aca="false">IF(OR(C137="",D137=""),"",C137+D137)</f>
        <v/>
      </c>
      <c r="F137" s="26"/>
      <c r="G137" s="26"/>
      <c r="H137" s="26" t="str">
        <f aca="false">IF(F137="","",F137-N(G137))</f>
        <v/>
      </c>
      <c r="I137" s="27" t="str">
        <f aca="false">IF(OR(H137="",E137=""),"",IF(H137&lt;=0,0,MAX(0,'Aging Summary'!$Z$1-E137)))</f>
        <v/>
      </c>
      <c r="J137" s="24" t="str">
        <f aca="false">IF(H137="","",IF(H137&lt;=0,"Paid",IF(OR(I137="",I137=0),"Current",IF(I137&lt;=30,"Up to one month past due",IF(I137&lt;=60,"One to two months past due",IF(I137&lt;=90,"Two to three months past due","Over three months past due"))))))</f>
        <v/>
      </c>
      <c r="K137" s="24" t="str">
        <f aca="false">IF(J137="","",IF(J137="Paid","None: closed",IF(J137="Current","Schedule for next payment run",IF(J137="Up to one month past due","Pay this week",IF(J137="One to two months past due","Contact vendor and confirm balance","Escalate and check for dispute")))))</f>
        <v/>
      </c>
      <c r="L137" s="24"/>
    </row>
    <row r="138" customFormat="false" ht="15" hidden="false" customHeight="false" outlineLevel="0" collapsed="false">
      <c r="A138" s="28"/>
      <c r="B138" s="28"/>
      <c r="C138" s="29"/>
      <c r="D138" s="28"/>
      <c r="E138" s="29" t="str">
        <f aca="false">IF(OR(C138="",D138=""),"",C138+D138)</f>
        <v/>
      </c>
      <c r="F138" s="30"/>
      <c r="G138" s="30"/>
      <c r="H138" s="30" t="str">
        <f aca="false">IF(F138="","",F138-N(G138))</f>
        <v/>
      </c>
      <c r="I138" s="31" t="str">
        <f aca="false">IF(OR(H138="",E138=""),"",IF(H138&lt;=0,0,MAX(0,'Aging Summary'!$Z$1-E138)))</f>
        <v/>
      </c>
      <c r="J138" s="28" t="str">
        <f aca="false">IF(H138="","",IF(H138&lt;=0,"Paid",IF(OR(I138="",I138=0),"Current",IF(I138&lt;=30,"Up to one month past due",IF(I138&lt;=60,"One to two months past due",IF(I138&lt;=90,"Two to three months past due","Over three months past due"))))))</f>
        <v/>
      </c>
      <c r="K138" s="28" t="str">
        <f aca="false">IF(J138="","",IF(J138="Paid","None: closed",IF(J138="Current","Schedule for next payment run",IF(J138="Up to one month past due","Pay this week",IF(J138="One to two months past due","Contact vendor and confirm balance","Escalate and check for dispute")))))</f>
        <v/>
      </c>
      <c r="L138" s="28"/>
    </row>
    <row r="139" customFormat="false" ht="15" hidden="false" customHeight="false" outlineLevel="0" collapsed="false">
      <c r="A139" s="24"/>
      <c r="B139" s="24"/>
      <c r="C139" s="25"/>
      <c r="D139" s="24"/>
      <c r="E139" s="25" t="str">
        <f aca="false">IF(OR(C139="",D139=""),"",C139+D139)</f>
        <v/>
      </c>
      <c r="F139" s="26"/>
      <c r="G139" s="26"/>
      <c r="H139" s="26" t="str">
        <f aca="false">IF(F139="","",F139-N(G139))</f>
        <v/>
      </c>
      <c r="I139" s="27" t="str">
        <f aca="false">IF(OR(H139="",E139=""),"",IF(H139&lt;=0,0,MAX(0,'Aging Summary'!$Z$1-E139)))</f>
        <v/>
      </c>
      <c r="J139" s="24" t="str">
        <f aca="false">IF(H139="","",IF(H139&lt;=0,"Paid",IF(OR(I139="",I139=0),"Current",IF(I139&lt;=30,"Up to one month past due",IF(I139&lt;=60,"One to two months past due",IF(I139&lt;=90,"Two to three months past due","Over three months past due"))))))</f>
        <v/>
      </c>
      <c r="K139" s="24" t="str">
        <f aca="false">IF(J139="","",IF(J139="Paid","None: closed",IF(J139="Current","Schedule for next payment run",IF(J139="Up to one month past due","Pay this week",IF(J139="One to two months past due","Contact vendor and confirm balance","Escalate and check for dispute")))))</f>
        <v/>
      </c>
      <c r="L139" s="24"/>
    </row>
    <row r="140" customFormat="false" ht="15" hidden="false" customHeight="false" outlineLevel="0" collapsed="false">
      <c r="A140" s="28"/>
      <c r="B140" s="28"/>
      <c r="C140" s="29"/>
      <c r="D140" s="28"/>
      <c r="E140" s="29" t="str">
        <f aca="false">IF(OR(C140="",D140=""),"",C140+D140)</f>
        <v/>
      </c>
      <c r="F140" s="30"/>
      <c r="G140" s="30"/>
      <c r="H140" s="30" t="str">
        <f aca="false">IF(F140="","",F140-N(G140))</f>
        <v/>
      </c>
      <c r="I140" s="31" t="str">
        <f aca="false">IF(OR(H140="",E140=""),"",IF(H140&lt;=0,0,MAX(0,'Aging Summary'!$Z$1-E140)))</f>
        <v/>
      </c>
      <c r="J140" s="28" t="str">
        <f aca="false">IF(H140="","",IF(H140&lt;=0,"Paid",IF(OR(I140="",I140=0),"Current",IF(I140&lt;=30,"Up to one month past due",IF(I140&lt;=60,"One to two months past due",IF(I140&lt;=90,"Two to three months past due","Over three months past due"))))))</f>
        <v/>
      </c>
      <c r="K140" s="28" t="str">
        <f aca="false">IF(J140="","",IF(J140="Paid","None: closed",IF(J140="Current","Schedule for next payment run",IF(J140="Up to one month past due","Pay this week",IF(J140="One to two months past due","Contact vendor and confirm balance","Escalate and check for dispute")))))</f>
        <v/>
      </c>
      <c r="L140" s="28"/>
    </row>
    <row r="141" customFormat="false" ht="15" hidden="false" customHeight="false" outlineLevel="0" collapsed="false">
      <c r="A141" s="24"/>
      <c r="B141" s="24"/>
      <c r="C141" s="25"/>
      <c r="D141" s="24"/>
      <c r="E141" s="25" t="str">
        <f aca="false">IF(OR(C141="",D141=""),"",C141+D141)</f>
        <v/>
      </c>
      <c r="F141" s="26"/>
      <c r="G141" s="26"/>
      <c r="H141" s="26" t="str">
        <f aca="false">IF(F141="","",F141-N(G141))</f>
        <v/>
      </c>
      <c r="I141" s="27" t="str">
        <f aca="false">IF(OR(H141="",E141=""),"",IF(H141&lt;=0,0,MAX(0,'Aging Summary'!$Z$1-E141)))</f>
        <v/>
      </c>
      <c r="J141" s="24" t="str">
        <f aca="false">IF(H141="","",IF(H141&lt;=0,"Paid",IF(OR(I141="",I141=0),"Current",IF(I141&lt;=30,"Up to one month past due",IF(I141&lt;=60,"One to two months past due",IF(I141&lt;=90,"Two to three months past due","Over three months past due"))))))</f>
        <v/>
      </c>
      <c r="K141" s="24" t="str">
        <f aca="false">IF(J141="","",IF(J141="Paid","None: closed",IF(J141="Current","Schedule for next payment run",IF(J141="Up to one month past due","Pay this week",IF(J141="One to two months past due","Contact vendor and confirm balance","Escalate and check for dispute")))))</f>
        <v/>
      </c>
      <c r="L141" s="24"/>
    </row>
    <row r="142" customFormat="false" ht="15" hidden="false" customHeight="false" outlineLevel="0" collapsed="false">
      <c r="A142" s="28"/>
      <c r="B142" s="28"/>
      <c r="C142" s="29"/>
      <c r="D142" s="28"/>
      <c r="E142" s="29" t="str">
        <f aca="false">IF(OR(C142="",D142=""),"",C142+D142)</f>
        <v/>
      </c>
      <c r="F142" s="30"/>
      <c r="G142" s="30"/>
      <c r="H142" s="30" t="str">
        <f aca="false">IF(F142="","",F142-N(G142))</f>
        <v/>
      </c>
      <c r="I142" s="31" t="str">
        <f aca="false">IF(OR(H142="",E142=""),"",IF(H142&lt;=0,0,MAX(0,'Aging Summary'!$Z$1-E142)))</f>
        <v/>
      </c>
      <c r="J142" s="28" t="str">
        <f aca="false">IF(H142="","",IF(H142&lt;=0,"Paid",IF(OR(I142="",I142=0),"Current",IF(I142&lt;=30,"Up to one month past due",IF(I142&lt;=60,"One to two months past due",IF(I142&lt;=90,"Two to three months past due","Over three months past due"))))))</f>
        <v/>
      </c>
      <c r="K142" s="28" t="str">
        <f aca="false">IF(J142="","",IF(J142="Paid","None: closed",IF(J142="Current","Schedule for next payment run",IF(J142="Up to one month past due","Pay this week",IF(J142="One to two months past due","Contact vendor and confirm balance","Escalate and check for dispute")))))</f>
        <v/>
      </c>
      <c r="L142" s="28"/>
    </row>
    <row r="143" customFormat="false" ht="15" hidden="false" customHeight="false" outlineLevel="0" collapsed="false">
      <c r="A143" s="24"/>
      <c r="B143" s="24"/>
      <c r="C143" s="25"/>
      <c r="D143" s="24"/>
      <c r="E143" s="25" t="str">
        <f aca="false">IF(OR(C143="",D143=""),"",C143+D143)</f>
        <v/>
      </c>
      <c r="F143" s="26"/>
      <c r="G143" s="26"/>
      <c r="H143" s="26" t="str">
        <f aca="false">IF(F143="","",F143-N(G143))</f>
        <v/>
      </c>
      <c r="I143" s="27" t="str">
        <f aca="false">IF(OR(H143="",E143=""),"",IF(H143&lt;=0,0,MAX(0,'Aging Summary'!$Z$1-E143)))</f>
        <v/>
      </c>
      <c r="J143" s="24" t="str">
        <f aca="false">IF(H143="","",IF(H143&lt;=0,"Paid",IF(OR(I143="",I143=0),"Current",IF(I143&lt;=30,"Up to one month past due",IF(I143&lt;=60,"One to two months past due",IF(I143&lt;=90,"Two to three months past due","Over three months past due"))))))</f>
        <v/>
      </c>
      <c r="K143" s="24" t="str">
        <f aca="false">IF(J143="","",IF(J143="Paid","None: closed",IF(J143="Current","Schedule for next payment run",IF(J143="Up to one month past due","Pay this week",IF(J143="One to two months past due","Contact vendor and confirm balance","Escalate and check for dispute")))))</f>
        <v/>
      </c>
      <c r="L143" s="24"/>
    </row>
    <row r="144" customFormat="false" ht="15" hidden="false" customHeight="false" outlineLevel="0" collapsed="false">
      <c r="A144" s="28"/>
      <c r="B144" s="28"/>
      <c r="C144" s="29"/>
      <c r="D144" s="28"/>
      <c r="E144" s="29" t="str">
        <f aca="false">IF(OR(C144="",D144=""),"",C144+D144)</f>
        <v/>
      </c>
      <c r="F144" s="30"/>
      <c r="G144" s="30"/>
      <c r="H144" s="30" t="str">
        <f aca="false">IF(F144="","",F144-N(G144))</f>
        <v/>
      </c>
      <c r="I144" s="31" t="str">
        <f aca="false">IF(OR(H144="",E144=""),"",IF(H144&lt;=0,0,MAX(0,'Aging Summary'!$Z$1-E144)))</f>
        <v/>
      </c>
      <c r="J144" s="28" t="str">
        <f aca="false">IF(H144="","",IF(H144&lt;=0,"Paid",IF(OR(I144="",I144=0),"Current",IF(I144&lt;=30,"Up to one month past due",IF(I144&lt;=60,"One to two months past due",IF(I144&lt;=90,"Two to three months past due","Over three months past due"))))))</f>
        <v/>
      </c>
      <c r="K144" s="28" t="str">
        <f aca="false">IF(J144="","",IF(J144="Paid","None: closed",IF(J144="Current","Schedule for next payment run",IF(J144="Up to one month past due","Pay this week",IF(J144="One to two months past due","Contact vendor and confirm balance","Escalate and check for dispute")))))</f>
        <v/>
      </c>
      <c r="L144" s="28"/>
    </row>
    <row r="145" customFormat="false" ht="15" hidden="false" customHeight="false" outlineLevel="0" collapsed="false">
      <c r="A145" s="24"/>
      <c r="B145" s="24"/>
      <c r="C145" s="25"/>
      <c r="D145" s="24"/>
      <c r="E145" s="25" t="str">
        <f aca="false">IF(OR(C145="",D145=""),"",C145+D145)</f>
        <v/>
      </c>
      <c r="F145" s="26"/>
      <c r="G145" s="26"/>
      <c r="H145" s="26" t="str">
        <f aca="false">IF(F145="","",F145-N(G145))</f>
        <v/>
      </c>
      <c r="I145" s="27" t="str">
        <f aca="false">IF(OR(H145="",E145=""),"",IF(H145&lt;=0,0,MAX(0,'Aging Summary'!$Z$1-E145)))</f>
        <v/>
      </c>
      <c r="J145" s="24" t="str">
        <f aca="false">IF(H145="","",IF(H145&lt;=0,"Paid",IF(OR(I145="",I145=0),"Current",IF(I145&lt;=30,"Up to one month past due",IF(I145&lt;=60,"One to two months past due",IF(I145&lt;=90,"Two to three months past due","Over three months past due"))))))</f>
        <v/>
      </c>
      <c r="K145" s="24" t="str">
        <f aca="false">IF(J145="","",IF(J145="Paid","None: closed",IF(J145="Current","Schedule for next payment run",IF(J145="Up to one month past due","Pay this week",IF(J145="One to two months past due","Contact vendor and confirm balance","Escalate and check for dispute")))))</f>
        <v/>
      </c>
      <c r="L145" s="24"/>
    </row>
    <row r="146" customFormat="false" ht="15" hidden="false" customHeight="false" outlineLevel="0" collapsed="false">
      <c r="A146" s="28"/>
      <c r="B146" s="28"/>
      <c r="C146" s="29"/>
      <c r="D146" s="28"/>
      <c r="E146" s="29" t="str">
        <f aca="false">IF(OR(C146="",D146=""),"",C146+D146)</f>
        <v/>
      </c>
      <c r="F146" s="30"/>
      <c r="G146" s="30"/>
      <c r="H146" s="30" t="str">
        <f aca="false">IF(F146="","",F146-N(G146))</f>
        <v/>
      </c>
      <c r="I146" s="31" t="str">
        <f aca="false">IF(OR(H146="",E146=""),"",IF(H146&lt;=0,0,MAX(0,'Aging Summary'!$Z$1-E146)))</f>
        <v/>
      </c>
      <c r="J146" s="28" t="str">
        <f aca="false">IF(H146="","",IF(H146&lt;=0,"Paid",IF(OR(I146="",I146=0),"Current",IF(I146&lt;=30,"Up to one month past due",IF(I146&lt;=60,"One to two months past due",IF(I146&lt;=90,"Two to three months past due","Over three months past due"))))))</f>
        <v/>
      </c>
      <c r="K146" s="28" t="str">
        <f aca="false">IF(J146="","",IF(J146="Paid","None: closed",IF(J146="Current","Schedule for next payment run",IF(J146="Up to one month past due","Pay this week",IF(J146="One to two months past due","Contact vendor and confirm balance","Escalate and check for dispute")))))</f>
        <v/>
      </c>
      <c r="L146" s="28"/>
    </row>
    <row r="147" customFormat="false" ht="15" hidden="false" customHeight="false" outlineLevel="0" collapsed="false">
      <c r="A147" s="24"/>
      <c r="B147" s="24"/>
      <c r="C147" s="25"/>
      <c r="D147" s="24"/>
      <c r="E147" s="25" t="str">
        <f aca="false">IF(OR(C147="",D147=""),"",C147+D147)</f>
        <v/>
      </c>
      <c r="F147" s="26"/>
      <c r="G147" s="26"/>
      <c r="H147" s="26" t="str">
        <f aca="false">IF(F147="","",F147-N(G147))</f>
        <v/>
      </c>
      <c r="I147" s="27" t="str">
        <f aca="false">IF(OR(H147="",E147=""),"",IF(H147&lt;=0,0,MAX(0,'Aging Summary'!$Z$1-E147)))</f>
        <v/>
      </c>
      <c r="J147" s="24" t="str">
        <f aca="false">IF(H147="","",IF(H147&lt;=0,"Paid",IF(OR(I147="",I147=0),"Current",IF(I147&lt;=30,"Up to one month past due",IF(I147&lt;=60,"One to two months past due",IF(I147&lt;=90,"Two to three months past due","Over three months past due"))))))</f>
        <v/>
      </c>
      <c r="K147" s="24" t="str">
        <f aca="false">IF(J147="","",IF(J147="Paid","None: closed",IF(J147="Current","Schedule for next payment run",IF(J147="Up to one month past due","Pay this week",IF(J147="One to two months past due","Contact vendor and confirm balance","Escalate and check for dispute")))))</f>
        <v/>
      </c>
      <c r="L147" s="24"/>
    </row>
    <row r="148" customFormat="false" ht="15" hidden="false" customHeight="false" outlineLevel="0" collapsed="false">
      <c r="A148" s="28"/>
      <c r="B148" s="28"/>
      <c r="C148" s="29"/>
      <c r="D148" s="28"/>
      <c r="E148" s="29" t="str">
        <f aca="false">IF(OR(C148="",D148=""),"",C148+D148)</f>
        <v/>
      </c>
      <c r="F148" s="30"/>
      <c r="G148" s="30"/>
      <c r="H148" s="30" t="str">
        <f aca="false">IF(F148="","",F148-N(G148))</f>
        <v/>
      </c>
      <c r="I148" s="31" t="str">
        <f aca="false">IF(OR(H148="",E148=""),"",IF(H148&lt;=0,0,MAX(0,'Aging Summary'!$Z$1-E148)))</f>
        <v/>
      </c>
      <c r="J148" s="28" t="str">
        <f aca="false">IF(H148="","",IF(H148&lt;=0,"Paid",IF(OR(I148="",I148=0),"Current",IF(I148&lt;=30,"Up to one month past due",IF(I148&lt;=60,"One to two months past due",IF(I148&lt;=90,"Two to three months past due","Over three months past due"))))))</f>
        <v/>
      </c>
      <c r="K148" s="28" t="str">
        <f aca="false">IF(J148="","",IF(J148="Paid","None: closed",IF(J148="Current","Schedule for next payment run",IF(J148="Up to one month past due","Pay this week",IF(J148="One to two months past due","Contact vendor and confirm balance","Escalate and check for dispute")))))</f>
        <v/>
      </c>
      <c r="L148" s="28"/>
    </row>
    <row r="149" customFormat="false" ht="15" hidden="false" customHeight="false" outlineLevel="0" collapsed="false">
      <c r="A149" s="24"/>
      <c r="B149" s="24"/>
      <c r="C149" s="25"/>
      <c r="D149" s="24"/>
      <c r="E149" s="25" t="str">
        <f aca="false">IF(OR(C149="",D149=""),"",C149+D149)</f>
        <v/>
      </c>
      <c r="F149" s="26"/>
      <c r="G149" s="26"/>
      <c r="H149" s="26" t="str">
        <f aca="false">IF(F149="","",F149-N(G149))</f>
        <v/>
      </c>
      <c r="I149" s="27" t="str">
        <f aca="false">IF(OR(H149="",E149=""),"",IF(H149&lt;=0,0,MAX(0,'Aging Summary'!$Z$1-E149)))</f>
        <v/>
      </c>
      <c r="J149" s="24" t="str">
        <f aca="false">IF(H149="","",IF(H149&lt;=0,"Paid",IF(OR(I149="",I149=0),"Current",IF(I149&lt;=30,"Up to one month past due",IF(I149&lt;=60,"One to two months past due",IF(I149&lt;=90,"Two to three months past due","Over three months past due"))))))</f>
        <v/>
      </c>
      <c r="K149" s="24" t="str">
        <f aca="false">IF(J149="","",IF(J149="Paid","None: closed",IF(J149="Current","Schedule for next payment run",IF(J149="Up to one month past due","Pay this week",IF(J149="One to two months past due","Contact vendor and confirm balance","Escalate and check for dispute")))))</f>
        <v/>
      </c>
      <c r="L149" s="24"/>
    </row>
    <row r="150" customFormat="false" ht="15" hidden="false" customHeight="false" outlineLevel="0" collapsed="false">
      <c r="A150" s="28"/>
      <c r="B150" s="28"/>
      <c r="C150" s="29"/>
      <c r="D150" s="28"/>
      <c r="E150" s="29" t="str">
        <f aca="false">IF(OR(C150="",D150=""),"",C150+D150)</f>
        <v/>
      </c>
      <c r="F150" s="30"/>
      <c r="G150" s="30"/>
      <c r="H150" s="30" t="str">
        <f aca="false">IF(F150="","",F150-N(G150))</f>
        <v/>
      </c>
      <c r="I150" s="31" t="str">
        <f aca="false">IF(OR(H150="",E150=""),"",IF(H150&lt;=0,0,MAX(0,'Aging Summary'!$Z$1-E150)))</f>
        <v/>
      </c>
      <c r="J150" s="28" t="str">
        <f aca="false">IF(H150="","",IF(H150&lt;=0,"Paid",IF(OR(I150="",I150=0),"Current",IF(I150&lt;=30,"Up to one month past due",IF(I150&lt;=60,"One to two months past due",IF(I150&lt;=90,"Two to three months past due","Over three months past due"))))))</f>
        <v/>
      </c>
      <c r="K150" s="28" t="str">
        <f aca="false">IF(J150="","",IF(J150="Paid","None: closed",IF(J150="Current","Schedule for next payment run",IF(J150="Up to one month past due","Pay this week",IF(J150="One to two months past due","Contact vendor and confirm balance","Escalate and check for dispute")))))</f>
        <v/>
      </c>
      <c r="L150" s="28"/>
    </row>
    <row r="151" customFormat="false" ht="15" hidden="false" customHeight="false" outlineLevel="0" collapsed="false">
      <c r="A151" s="24"/>
      <c r="B151" s="24"/>
      <c r="C151" s="25"/>
      <c r="D151" s="24"/>
      <c r="E151" s="25" t="str">
        <f aca="false">IF(OR(C151="",D151=""),"",C151+D151)</f>
        <v/>
      </c>
      <c r="F151" s="26"/>
      <c r="G151" s="26"/>
      <c r="H151" s="26" t="str">
        <f aca="false">IF(F151="","",F151-N(G151))</f>
        <v/>
      </c>
      <c r="I151" s="27" t="str">
        <f aca="false">IF(OR(H151="",E151=""),"",IF(H151&lt;=0,0,MAX(0,'Aging Summary'!$Z$1-E151)))</f>
        <v/>
      </c>
      <c r="J151" s="24" t="str">
        <f aca="false">IF(H151="","",IF(H151&lt;=0,"Paid",IF(OR(I151="",I151=0),"Current",IF(I151&lt;=30,"Up to one month past due",IF(I151&lt;=60,"One to two months past due",IF(I151&lt;=90,"Two to three months past due","Over three months past due"))))))</f>
        <v/>
      </c>
      <c r="K151" s="24" t="str">
        <f aca="false">IF(J151="","",IF(J151="Paid","None: closed",IF(J151="Current","Schedule for next payment run",IF(J151="Up to one month past due","Pay this week",IF(J151="One to two months past due","Contact vendor and confirm balance","Escalate and check for dispute")))))</f>
        <v/>
      </c>
      <c r="L151" s="24"/>
    </row>
    <row r="152" customFormat="false" ht="15" hidden="false" customHeight="false" outlineLevel="0" collapsed="false">
      <c r="A152" s="28"/>
      <c r="B152" s="28"/>
      <c r="C152" s="29"/>
      <c r="D152" s="28"/>
      <c r="E152" s="29" t="str">
        <f aca="false">IF(OR(C152="",D152=""),"",C152+D152)</f>
        <v/>
      </c>
      <c r="F152" s="30"/>
      <c r="G152" s="30"/>
      <c r="H152" s="30" t="str">
        <f aca="false">IF(F152="","",F152-N(G152))</f>
        <v/>
      </c>
      <c r="I152" s="31" t="str">
        <f aca="false">IF(OR(H152="",E152=""),"",IF(H152&lt;=0,0,MAX(0,'Aging Summary'!$Z$1-E152)))</f>
        <v/>
      </c>
      <c r="J152" s="28" t="str">
        <f aca="false">IF(H152="","",IF(H152&lt;=0,"Paid",IF(OR(I152="",I152=0),"Current",IF(I152&lt;=30,"Up to one month past due",IF(I152&lt;=60,"One to two months past due",IF(I152&lt;=90,"Two to three months past due","Over three months past due"))))))</f>
        <v/>
      </c>
      <c r="K152" s="28" t="str">
        <f aca="false">IF(J152="","",IF(J152="Paid","None: closed",IF(J152="Current","Schedule for next payment run",IF(J152="Up to one month past due","Pay this week",IF(J152="One to two months past due","Contact vendor and confirm balance","Escalate and check for dispute")))))</f>
        <v/>
      </c>
      <c r="L152" s="28"/>
    </row>
    <row r="153" customFormat="false" ht="15" hidden="false" customHeight="false" outlineLevel="0" collapsed="false">
      <c r="A153" s="24"/>
      <c r="B153" s="24"/>
      <c r="C153" s="25"/>
      <c r="D153" s="24"/>
      <c r="E153" s="25" t="str">
        <f aca="false">IF(OR(C153="",D153=""),"",C153+D153)</f>
        <v/>
      </c>
      <c r="F153" s="26"/>
      <c r="G153" s="26"/>
      <c r="H153" s="26" t="str">
        <f aca="false">IF(F153="","",F153-N(G153))</f>
        <v/>
      </c>
      <c r="I153" s="27" t="str">
        <f aca="false">IF(OR(H153="",E153=""),"",IF(H153&lt;=0,0,MAX(0,'Aging Summary'!$Z$1-E153)))</f>
        <v/>
      </c>
      <c r="J153" s="24" t="str">
        <f aca="false">IF(H153="","",IF(H153&lt;=0,"Paid",IF(OR(I153="",I153=0),"Current",IF(I153&lt;=30,"Up to one month past due",IF(I153&lt;=60,"One to two months past due",IF(I153&lt;=90,"Two to three months past due","Over three months past due"))))))</f>
        <v/>
      </c>
      <c r="K153" s="24" t="str">
        <f aca="false">IF(J153="","",IF(J153="Paid","None: closed",IF(J153="Current","Schedule for next payment run",IF(J153="Up to one month past due","Pay this week",IF(J153="One to two months past due","Contact vendor and confirm balance","Escalate and check for dispute")))))</f>
        <v/>
      </c>
      <c r="L153" s="24"/>
    </row>
    <row r="154" customFormat="false" ht="15" hidden="false" customHeight="false" outlineLevel="0" collapsed="false">
      <c r="A154" s="28"/>
      <c r="B154" s="28"/>
      <c r="C154" s="29"/>
      <c r="D154" s="28"/>
      <c r="E154" s="29" t="str">
        <f aca="false">IF(OR(C154="",D154=""),"",C154+D154)</f>
        <v/>
      </c>
      <c r="F154" s="30"/>
      <c r="G154" s="30"/>
      <c r="H154" s="30" t="str">
        <f aca="false">IF(F154="","",F154-N(G154))</f>
        <v/>
      </c>
      <c r="I154" s="31" t="str">
        <f aca="false">IF(OR(H154="",E154=""),"",IF(H154&lt;=0,0,MAX(0,'Aging Summary'!$Z$1-E154)))</f>
        <v/>
      </c>
      <c r="J154" s="28" t="str">
        <f aca="false">IF(H154="","",IF(H154&lt;=0,"Paid",IF(OR(I154="",I154=0),"Current",IF(I154&lt;=30,"Up to one month past due",IF(I154&lt;=60,"One to two months past due",IF(I154&lt;=90,"Two to three months past due","Over three months past due"))))))</f>
        <v/>
      </c>
      <c r="K154" s="28" t="str">
        <f aca="false">IF(J154="","",IF(J154="Paid","None: closed",IF(J154="Current","Schedule for next payment run",IF(J154="Up to one month past due","Pay this week",IF(J154="One to two months past due","Contact vendor and confirm balance","Escalate and check for dispute")))))</f>
        <v/>
      </c>
      <c r="L154" s="28"/>
    </row>
  </sheetData>
  <conditionalFormatting sqref="J5:J154">
    <cfRule type="expression" priority="2" aboveAverage="0" equalAverage="0" bottom="0" percent="0" rank="0" text="" dxfId="1">
      <formula>OR(J5="Two to three months past due",J5="Over three months past due")</formula>
    </cfRule>
    <cfRule type="cellIs" priority="3" operator="equal" aboveAverage="0" equalAverage="0" bottom="0" percent="0" rank="0" text="" dxfId="2">
      <formula>"One to two months past due"</formula>
    </cfRule>
  </conditionalFormatting>
  <conditionalFormatting sqref="L5:L154">
    <cfRule type="cellIs" priority="4" operator="equal" aboveAverage="0" equalAverage="0" bottom="0" percent="0" rank="0" text="" dxfId="1">
      <formula>"No"</formula>
    </cfRule>
  </conditionalFormatting>
  <dataValidations count="1">
    <dataValidation allowBlank="true" errorStyle="stop" operator="between" showDropDown="false" showErrorMessage="false" showInputMessage="false" sqref="L5:L154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2026-09-30T03:22:38Z</dcterms:created>
  <dc:creator>openpyxl</dc:creator>
  <dc:description/>
  <dc:language>en-US</dc:language>
  <cp:lastModifiedBy/>
  <dcterms:modified xsi:type="dcterms:W3CDTF">2026-09-30T03:22:39Z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