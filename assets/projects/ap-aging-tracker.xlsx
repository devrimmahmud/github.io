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ing Summary" sheetId="1" state="visible" r:id="rId3"/>
    <sheet name="Invoice Register" sheetId="2" state="visible" r:id="rId4"/>
  </sheets>
  <definedNames>
    <definedName function="false" hidden="false" localSheetId="0" name="_xlnm.Print_Area" vbProcedure="false">'Aging Summary'!$A$1:$G$37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<sst xmlns="http://schemas.openxmlformats.org/spreadsheetml/2006/main" count="119" uniqueCount="73">
  <si>
    <t xml:space="preserve">AP Aging Summary &amp; Payment Priorities</t>
  </si>
  <si>
    <t xml:space="preserve">Illustrative sample data for a fictional company. Not from any employer. Built by Tahsin Devrim Mahmud.</t>
  </si>
  <si>
    <t xml:space="preserve">Aging as of date</t>
  </si>
  <si>
    <t xml:space="preserve">Bucket</t>
  </si>
  <si>
    <t xml:space="preserve">Balance Owing</t>
  </si>
  <si>
    <t xml:space="preserve"># Invoices</t>
  </si>
  <si>
    <t xml:space="preserve">% of Total</t>
  </si>
  <si>
    <t xml:space="preserve">Current</t>
  </si>
  <si>
    <t xml:space="preserve">1-30</t>
  </si>
  <si>
    <t xml:space="preserve">31-60</t>
  </si>
  <si>
    <t xml:space="preserve">61-90</t>
  </si>
  <si>
    <t xml:space="preserve">90+</t>
  </si>
  <si>
    <t xml:space="preserve">Total outstanding</t>
  </si>
  <si>
    <t xml:space="preserve">CONTROL CHECKS</t>
  </si>
  <si>
    <t xml:space="preserve">Past due over 60 days</t>
  </si>
  <si>
    <t xml:space="preserve">Invoices failing 3-way match</t>
  </si>
  <si>
    <t xml:space="preserve">Possible duplicate invoice #s</t>
  </si>
  <si>
    <t xml:space="preserve">Ties to register total?</t>
  </si>
  <si>
    <t xml:space="preserve">Notes</t>
  </si>
  <si>
    <t xml:space="preserve">Change the as-of date in C4 to re-age every invoice. Buckets are based on days past the due date (invoice date + terms).</t>
  </si>
  <si>
    <t xml:space="preserve">Follow-up actions are assigned automatically from the aging bucket; red rows need escalation.</t>
  </si>
  <si>
    <t xml:space="preserve">Accounts Payable Invoice Register</t>
  </si>
  <si>
    <t xml:space="preserve">Vendor</t>
  </si>
  <si>
    <t xml:space="preserve">Invoice #</t>
  </si>
  <si>
    <t xml:space="preserve">Invoice Date</t>
  </si>
  <si>
    <t xml:space="preserve">Terms (days)</t>
  </si>
  <si>
    <t xml:space="preserve">Due Date</t>
  </si>
  <si>
    <t xml:space="preserve">Invoice Amount</t>
  </si>
  <si>
    <t xml:space="preserve">Amount Paid</t>
  </si>
  <si>
    <t xml:space="preserve">Days Past Due</t>
  </si>
  <si>
    <t xml:space="preserve">Aging Bucket</t>
  </si>
  <si>
    <t xml:space="preserve">Follow-up Action</t>
  </si>
  <si>
    <t xml:space="preserve">3-Way Match?</t>
  </si>
  <si>
    <t xml:space="preserve">Cintas Uniforms</t>
  </si>
  <si>
    <t xml:space="preserve">INV-24100</t>
  </si>
  <si>
    <t xml:space="preserve">No</t>
  </si>
  <si>
    <t xml:space="preserve">Gordon Food Service</t>
  </si>
  <si>
    <t xml:space="preserve">INV-24107</t>
  </si>
  <si>
    <t xml:space="preserve">Yes</t>
  </si>
  <si>
    <t xml:space="preserve">Sysco Canada</t>
  </si>
  <si>
    <t xml:space="preserve">INV-24114</t>
  </si>
  <si>
    <t xml:space="preserve">Hydro One</t>
  </si>
  <si>
    <t xml:space="preserve">INV-24121</t>
  </si>
  <si>
    <t xml:space="preserve">INV-24128</t>
  </si>
  <si>
    <t xml:space="preserve">INV-24135</t>
  </si>
  <si>
    <t xml:space="preserve">Staples Business</t>
  </si>
  <si>
    <t xml:space="preserve">INV-24142</t>
  </si>
  <si>
    <t xml:space="preserve">INV-24149</t>
  </si>
  <si>
    <t xml:space="preserve">INV-24156</t>
  </si>
  <si>
    <t xml:space="preserve">INV-24163</t>
  </si>
  <si>
    <t xml:space="preserve">Otis Elevator</t>
  </si>
  <si>
    <t xml:space="preserve">INV-24170</t>
  </si>
  <si>
    <t xml:space="preserve">INV-24177</t>
  </si>
  <si>
    <t xml:space="preserve">INV-24184</t>
  </si>
  <si>
    <t xml:space="preserve">INV-24191</t>
  </si>
  <si>
    <t xml:space="preserve">Enbridge Gas</t>
  </si>
  <si>
    <t xml:space="preserve">INV-24198</t>
  </si>
  <si>
    <t xml:space="preserve">INV-24205</t>
  </si>
  <si>
    <t xml:space="preserve">Ecolab</t>
  </si>
  <si>
    <t xml:space="preserve">INV-24212</t>
  </si>
  <si>
    <t xml:space="preserve">Grand &amp; Toy</t>
  </si>
  <si>
    <t xml:space="preserve">INV-24219</t>
  </si>
  <si>
    <t xml:space="preserve">INV-24226</t>
  </si>
  <si>
    <t xml:space="preserve">INV-24233</t>
  </si>
  <si>
    <t xml:space="preserve">Bell Canada</t>
  </si>
  <si>
    <t xml:space="preserve">INV-24240</t>
  </si>
  <si>
    <t xml:space="preserve">INV-24247</t>
  </si>
  <si>
    <t xml:space="preserve">INV-24254</t>
  </si>
  <si>
    <t xml:space="preserve">INV-24261</t>
  </si>
  <si>
    <t xml:space="preserve">INV-24268</t>
  </si>
  <si>
    <t xml:space="preserve">INV-24275</t>
  </si>
  <si>
    <t xml:space="preserve">INV-24282</t>
  </si>
  <si>
    <t xml:space="preserve">INV-24289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</si>
</sst>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$#,##0.00;&quot;($&quot;#,##0.00\);\-"/>
    <numFmt numFmtId="167" formatCode="General"/>
    <numFmt numFmtId="168" formatCode="0.0%;\(0.0%\);\-"/>
    <numFmt numFmtId="169" formatCode="0"/>
    <numFmt numFmtId="170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82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E31B6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59D"/>
        <bgColor rgb="FFFFE0B2"/>
      </patternFill>
    </fill>
    <fill>
      <patternFill patternType="solid">
        <fgColor rgb="FF111821"/>
        <bgColor rgb="FF000000"/>
      </patternFill>
    </fill>
    <fill>
      <patternFill patternType="solid">
        <fgColor rgb="FFF3F5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DD2"/>
        </patternFill>
      </fill>
    </dxf>
    <dxf>
      <fill>
        <patternFill>
          <bgColor rgb="FFFFE0B2"/>
        </patternFill>
      </fill>
    </dxf>
  </dxfs>
  <colors>
    <indexedColors>
      <rgbColor rgb="FF000000"/>
      <rgbColor rgb="FFFFFFFF"/>
      <rgbColor rgb="FFE31B6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3F5F8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CDD2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82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Balance Owing by Aging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'Aging Summary'!C6</c:f>
              <c:strCache>
                <c:ptCount val="1"/>
                <c:pt idx="0">
                  <c:v>Balance Owing</c:v>
                </c:pt>
              </c:strCache>
            </c:strRef>
          </c:tx>
          <c:spPr>
            <a:solidFill>
              <a:srgbClr val="e31b6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'Aging Summary'!$A$7:$A$11</c:f>
              <c:strCache>
                <c:ptCount val="5"/>
                <c:pt idx="0">
                  <c:v>Current</c:v>
                </c:pt>
                <c:pt idx="1">
                  <c:v>1-30</c:v>
                </c:pt>
                <c:pt idx="2">
                  <c:v>31-60</c:v>
                </c:pt>
                <c:pt idx="3">
                  <c:v>61-90</c:v>
                </c:pt>
                <c:pt idx="4">
                  <c:v>90+</c:v>
                </c:pt>
              </c:strCache>
            </c:strRef>
          </c:cat>
          <c:val>
            <c:numRef>
              <c:f>'Aging Summary'!$C$7:$C$11</c:f>
              <c:numCache>
                <c:formatCode>\$#,##0.00;"($"#,##0.00\);\-</c:formatCode>
                <c:ptCount val="5"/>
                <c:pt idx="0">
                  <c:v>22838.72</c:v>
                </c:pt>
                <c:pt idx="1">
                  <c:v>14513.09</c:v>
                </c:pt>
                <c:pt idx="2">
                  <c:v>36850.81</c:v>
                </c:pt>
                <c:pt idx="3">
                  <c:v>31877.32</c:v>
                </c:pt>
                <c:pt idx="4">
                  <c:v>11567.64</c:v>
                </c:pt>
              </c:numCache>
            </c:numRef>
          </c:val>
        </c:ser>
        <c:gapWidth val="150"/>
        <c:overlap val="0"/>
        <c:axId val="47784812"/>
        <c:axId val="29006044"/>
      </c:barChart>
      <c:catAx>
        <c:axId val="477848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06044"/>
        <c:crosses val="autoZero"/>
        <c:auto val="1"/>
        <c:lblAlgn val="ctr"/>
        <c:lblOffset val="100"/>
        <c:noMultiLvlLbl val="0"/>
      </c:catAx>
      <c:valAx>
        <c:axId val="29006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848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130680</xdr:rowOff>
    </xdr:from>
    <xdr:to>
      <xdr:col>4</xdr:col>
      <xdr:colOff>1022040</xdr:colOff>
      <xdr:row>31</xdr:row>
      <xdr:rowOff>173880</xdr:rowOff>
    </xdr:to>
    <xdr:graphicFrame>
      <xdr:nvGraphicFramePr>
        <xdr:cNvPr id="0" name="Chart 1"/>
        <xdr:cNvGraphicFramePr/>
      </xdr:nvGraphicFramePr>
      <xdr:xfrm>
        <a:off x="0" y="36194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"/>
    <col collapsed="false" customWidth="true" hidden="false" outlineLevel="0" max="7" min="3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v>46295</v>
      </c>
    </row>
    <row r="6" customFormat="false" ht="15" hidden="false" customHeight="false" outlineLevel="0" collapsed="false">
      <c r="A6" s="5" t="s">
        <v>3</v>
      </c>
      <c r="B6" s="5"/>
      <c r="C6" s="5" t="s">
        <v>4</v>
      </c>
      <c r="D6" s="5" t="s">
        <v>5</v>
      </c>
      <c r="E6" s="5" t="s">
        <v>6</v>
      </c>
    </row>
    <row r="7" customFormat="false" ht="15" hidden="false" customHeight="false" outlineLevel="0" collapsed="false">
      <c r="A7" s="6" t="s">
        <v>7</v>
      </c>
      <c r="C7" s="7" t="n">
        <f aca="false">SUMIFS('Invoice Register'!$H$5:$H$500,'Invoice Register'!$J$5:$J$500,A7)</f>
        <v>22838.72</v>
      </c>
      <c r="D7" s="8" t="n">
        <f aca="false">COUNTIF('Invoice Register'!$J$5:$J$500,A7)</f>
        <v>7</v>
      </c>
      <c r="E7" s="9" t="n">
        <f aca="false">IFERROR(C7/$C$12,0)</f>
        <v>0.194128260011808</v>
      </c>
    </row>
    <row r="8" customFormat="false" ht="15" hidden="false" customHeight="false" outlineLevel="0" collapsed="false">
      <c r="A8" s="6" t="s">
        <v>8</v>
      </c>
      <c r="C8" s="7" t="n">
        <f aca="false">SUMIFS('Invoice Register'!$H$5:$H$500,'Invoice Register'!$J$5:$J$500,A8)</f>
        <v>14513.09</v>
      </c>
      <c r="D8" s="8" t="n">
        <f aca="false">COUNTIF('Invoice Register'!$J$5:$J$500,A8)</f>
        <v>3</v>
      </c>
      <c r="E8" s="9" t="n">
        <f aca="false">IFERROR(C8/$C$12,0)</f>
        <v>0.123360718512017</v>
      </c>
    </row>
    <row r="9" customFormat="false" ht="15" hidden="false" customHeight="false" outlineLevel="0" collapsed="false">
      <c r="A9" s="6" t="s">
        <v>9</v>
      </c>
      <c r="C9" s="7" t="n">
        <f aca="false">SUMIFS('Invoice Register'!$H$5:$H$500,'Invoice Register'!$J$5:$J$500,A9)</f>
        <v>36850.81</v>
      </c>
      <c r="D9" s="8" t="n">
        <f aca="false">COUNTIF('Invoice Register'!$J$5:$J$500,A9)</f>
        <v>6</v>
      </c>
      <c r="E9" s="9" t="n">
        <f aca="false">IFERROR(C9/$C$12,0)</f>
        <v>0.313230497388897</v>
      </c>
    </row>
    <row r="10" customFormat="false" ht="15" hidden="false" customHeight="false" outlineLevel="0" collapsed="false">
      <c r="A10" s="6" t="s">
        <v>10</v>
      </c>
      <c r="C10" s="7" t="n">
        <f aca="false">SUMIFS('Invoice Register'!$H$5:$H$500,'Invoice Register'!$J$5:$J$500,A10)</f>
        <v>31877.32</v>
      </c>
      <c r="D10" s="8" t="n">
        <f aca="false">COUNTIF('Invoice Register'!$J$5:$J$500,A10)</f>
        <v>6</v>
      </c>
      <c r="E10" s="9" t="n">
        <f aca="false">IFERROR(C10/$C$12,0)</f>
        <v>0.270956019664833</v>
      </c>
    </row>
    <row r="11" customFormat="false" ht="15" hidden="false" customHeight="false" outlineLevel="0" collapsed="false">
      <c r="A11" s="6" t="s">
        <v>11</v>
      </c>
      <c r="C11" s="7" t="n">
        <f aca="false">SUMIFS('Invoice Register'!$H$5:$H$500,'Invoice Register'!$J$5:$J$500,A11)</f>
        <v>11567.64</v>
      </c>
      <c r="D11" s="8" t="n">
        <f aca="false">COUNTIF('Invoice Register'!$J$5:$J$500,A11)</f>
        <v>2</v>
      </c>
      <c r="E11" s="9" t="n">
        <f aca="false">IFERROR(C11/$C$12,0)</f>
        <v>0.0983245044224454</v>
      </c>
    </row>
    <row r="12" customFormat="false" ht="15" hidden="false" customHeight="false" outlineLevel="0" collapsed="false">
      <c r="A12" s="3" t="s">
        <v>12</v>
      </c>
      <c r="C12" s="10" t="n">
        <f aca="false">SUM(C7:C11)</f>
        <v>117647.58</v>
      </c>
      <c r="D12" s="3" t="n">
        <f aca="false">SUM(D7:D11)</f>
        <v>24</v>
      </c>
      <c r="E12" s="11" t="n">
        <f aca="false">SUM(E7:E11)</f>
        <v>1</v>
      </c>
    </row>
    <row r="14" customFormat="false" ht="15" hidden="false" customHeight="false" outlineLevel="0" collapsed="false">
      <c r="A14" s="12" t="s">
        <v>13</v>
      </c>
    </row>
    <row r="15" customFormat="false" ht="15" hidden="false" customHeight="false" outlineLevel="0" collapsed="false">
      <c r="A15" s="6" t="s">
        <v>14</v>
      </c>
      <c r="C15" s="13" t="n">
        <f aca="false">C10+C11</f>
        <v>43444.96</v>
      </c>
    </row>
    <row r="16" customFormat="false" ht="15" hidden="false" customHeight="false" outlineLevel="0" collapsed="false">
      <c r="A16" s="6" t="s">
        <v>15</v>
      </c>
      <c r="C16" s="14" t="n">
        <f aca="false">COUNTIF('Invoice Register'!$L$5:$L$500,"No")</f>
        <v>7</v>
      </c>
    </row>
    <row r="17" customFormat="false" ht="15" hidden="false" customHeight="false" outlineLevel="0" collapsed="false">
      <c r="A17" s="6" t="s">
        <v>16</v>
      </c>
      <c r="C17" s="14" t="n">
        <f aca="false">SUMPRODUCT(('Invoice Register'!$B$5:$B$500&lt;&gt;"")*(COUNTIF('Invoice Register'!$B$5:$B$500,'Invoice Register'!$B$5:$B$500)&gt;1))</f>
        <v>0</v>
      </c>
    </row>
    <row r="18" customFormat="false" ht="15" hidden="false" customHeight="false" outlineLevel="0" collapsed="false">
      <c r="A18" s="6" t="s">
        <v>17</v>
      </c>
      <c r="C18" s="15" t="str">
        <f aca="false">IF(ROUND(C12-SUM('Invoice Register'!$H$5:$H$500),2)=0,"Yes","CHECK")</f>
        <v>Yes</v>
      </c>
    </row>
    <row r="35" customFormat="false" ht="15" hidden="false" customHeight="false" outlineLevel="0" collapsed="false">
      <c r="A35" s="3" t="s">
        <v>18</v>
      </c>
    </row>
    <row r="36" customFormat="false" ht="15" hidden="false" customHeight="false" outlineLevel="0" collapsed="false">
      <c r="A36" s="2" t="s">
        <v>19</v>
      </c>
    </row>
    <row r="37" customFormat="false" ht="15" hidden="false" customHeight="false" outlineLevel="0" collapsed="false">
      <c r="A37" s="2" t="s">
        <v>20</v>
      </c>
    </row>
  </sheetData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11"/>
  </cols>
  <sheetData>
    <row r="1" customFormat="false" ht="19.7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16" t="s">
        <v>22</v>
      </c>
      <c r="B4" s="16" t="s">
        <v>23</v>
      </c>
      <c r="C4" s="16" t="s">
        <v>24</v>
      </c>
      <c r="D4" s="16" t="s">
        <v>25</v>
      </c>
      <c r="E4" s="16" t="s">
        <v>26</v>
      </c>
      <c r="F4" s="16" t="s">
        <v>27</v>
      </c>
      <c r="G4" s="16" t="s">
        <v>28</v>
      </c>
      <c r="H4" s="16" t="s">
        <v>4</v>
      </c>
      <c r="I4" s="16" t="s">
        <v>29</v>
      </c>
      <c r="J4" s="16" t="s">
        <v>30</v>
      </c>
      <c r="K4" s="16" t="s">
        <v>31</v>
      </c>
      <c r="L4" s="16" t="s">
        <v>32</v>
      </c>
    </row>
    <row r="5" customFormat="false" ht="15" hidden="false" customHeight="false" outlineLevel="0" collapsed="false">
      <c r="A5" s="17" t="s">
        <v>33</v>
      </c>
      <c r="B5" s="17" t="s">
        <v>34</v>
      </c>
      <c r="C5" s="18" t="n">
        <v>46252</v>
      </c>
      <c r="D5" s="17" t="n">
        <v>30</v>
      </c>
      <c r="E5" s="19" t="n">
        <f aca="false">C5+D5</f>
        <v>46282</v>
      </c>
      <c r="F5" s="20" t="n">
        <v>12415.14</v>
      </c>
      <c r="G5" s="20" t="n">
        <v>0</v>
      </c>
      <c r="H5" s="7" t="n">
        <f aca="false">F5-G5</f>
        <v>12415.14</v>
      </c>
      <c r="I5" s="21" t="n">
        <f aca="false">IF(H5&lt;=0,0,MAX(0,'Aging Summary'!$C$4-E5))</f>
        <v>13</v>
      </c>
      <c r="J5" s="22" t="str">
        <f aca="false">IF(H5&lt;=0,"Paid",IF(I5=0,"Current",IF(I5&lt;=30,"1-30",IF(I5&lt;=60,"31-60",IF(I5&lt;=90,"61-90","90+")))))</f>
        <v>1-30</v>
      </c>
      <c r="K5" s="8" t="str">
        <f aca="false">IF(J5="Paid","None - closed",IF(J5="Current","Schedule for next pay run",IF(J5="1-30","Pay this week",IF(J5="31-60","Contact vendor; confirm balance","Escalate to controller; check for dispute"))))</f>
        <v>Pay this week</v>
      </c>
      <c r="L5" s="23" t="s">
        <v>35</v>
      </c>
    </row>
    <row r="6" customFormat="false" ht="15" hidden="false" customHeight="false" outlineLevel="0" collapsed="false">
      <c r="A6" s="24" t="s">
        <v>36</v>
      </c>
      <c r="B6" s="24" t="s">
        <v>37</v>
      </c>
      <c r="C6" s="25" t="n">
        <v>46173</v>
      </c>
      <c r="D6" s="24" t="n">
        <v>60</v>
      </c>
      <c r="E6" s="26" t="n">
        <f aca="false">C6+D6</f>
        <v>46233</v>
      </c>
      <c r="F6" s="27" t="n">
        <v>1980.87</v>
      </c>
      <c r="G6" s="27" t="n">
        <v>990.43</v>
      </c>
      <c r="H6" s="28" t="n">
        <f aca="false">F6-G6</f>
        <v>990.44</v>
      </c>
      <c r="I6" s="29" t="n">
        <f aca="false">IF(H6&lt;=0,0,MAX(0,'Aging Summary'!$C$4-E6))</f>
        <v>62</v>
      </c>
      <c r="J6" s="30" t="str">
        <f aca="false">IF(H6&lt;=0,"Paid",IF(I6=0,"Current",IF(I6&lt;=30,"1-30",IF(I6&lt;=60,"31-60",IF(I6&lt;=90,"61-90","90+")))))</f>
        <v>61-90</v>
      </c>
      <c r="K6" s="31" t="str">
        <f aca="false">IF(J6="Paid","None - closed",IF(J6="Current","Schedule for next pay run",IF(J6="1-30","Pay this week",IF(J6="31-60","Contact vendor; confirm balance","Escalate to controller; check for dispute"))))</f>
        <v>Escalate to controller; check for dispute</v>
      </c>
      <c r="L6" s="32" t="s">
        <v>38</v>
      </c>
    </row>
    <row r="7" customFormat="false" ht="15" hidden="false" customHeight="false" outlineLevel="0" collapsed="false">
      <c r="A7" s="17" t="s">
        <v>39</v>
      </c>
      <c r="B7" s="17" t="s">
        <v>40</v>
      </c>
      <c r="C7" s="18" t="n">
        <v>46253</v>
      </c>
      <c r="D7" s="17" t="n">
        <v>45</v>
      </c>
      <c r="E7" s="19" t="n">
        <f aca="false">C7+D7</f>
        <v>46298</v>
      </c>
      <c r="F7" s="20" t="n">
        <v>6934.88</v>
      </c>
      <c r="G7" s="20" t="n">
        <v>0</v>
      </c>
      <c r="H7" s="7" t="n">
        <f aca="false">F7-G7</f>
        <v>6934.88</v>
      </c>
      <c r="I7" s="21" t="n">
        <f aca="false">IF(H7&lt;=0,0,MAX(0,'Aging Summary'!$C$4-E7))</f>
        <v>0</v>
      </c>
      <c r="J7" s="22" t="str">
        <f aca="false">IF(H7&lt;=0,"Paid",IF(I7=0,"Current",IF(I7&lt;=30,"1-30",IF(I7&lt;=60,"31-60",IF(I7&lt;=90,"61-90","90+")))))</f>
        <v>Current</v>
      </c>
      <c r="K7" s="8" t="str">
        <f aca="false">IF(J7="Paid","None - closed",IF(J7="Current","Schedule for next pay run",IF(J7="1-30","Pay this week",IF(J7="31-60","Contact vendor; confirm balance","Escalate to controller; check for dispute"))))</f>
        <v>Schedule for next pay run</v>
      </c>
      <c r="L7" s="23" t="s">
        <v>38</v>
      </c>
    </row>
    <row r="8" customFormat="false" ht="15" hidden="false" customHeight="false" outlineLevel="0" collapsed="false">
      <c r="A8" s="24" t="s">
        <v>41</v>
      </c>
      <c r="B8" s="24" t="s">
        <v>42</v>
      </c>
      <c r="C8" s="25" t="n">
        <v>46158</v>
      </c>
      <c r="D8" s="24" t="n">
        <v>60</v>
      </c>
      <c r="E8" s="26" t="n">
        <f aca="false">C8+D8</f>
        <v>46218</v>
      </c>
      <c r="F8" s="27" t="n">
        <v>11682.26</v>
      </c>
      <c r="G8" s="27" t="n">
        <v>11682.26</v>
      </c>
      <c r="H8" s="28" t="n">
        <f aca="false">F8-G8</f>
        <v>0</v>
      </c>
      <c r="I8" s="29" t="n">
        <f aca="false">IF(H8&lt;=0,0,MAX(0,'Aging Summary'!$C$4-E8))</f>
        <v>0</v>
      </c>
      <c r="J8" s="30" t="str">
        <f aca="false">IF(H8&lt;=0,"Paid",IF(I8=0,"Current",IF(I8&lt;=30,"1-30",IF(I8&lt;=60,"31-60",IF(I8&lt;=90,"61-90","90+")))))</f>
        <v>Paid</v>
      </c>
      <c r="K8" s="31" t="str">
        <f aca="false">IF(J8="Paid","None - closed",IF(J8="Current","Schedule for next pay run",IF(J8="1-30","Pay this week",IF(J8="31-60","Contact vendor; confirm balance","Escalate to controller; check for dispute"))))</f>
        <v>None - closed</v>
      </c>
      <c r="L8" s="32" t="s">
        <v>38</v>
      </c>
    </row>
    <row r="9" customFormat="false" ht="15" hidden="false" customHeight="false" outlineLevel="0" collapsed="false">
      <c r="A9" s="17" t="s">
        <v>41</v>
      </c>
      <c r="B9" s="17" t="s">
        <v>43</v>
      </c>
      <c r="C9" s="18" t="n">
        <v>46285</v>
      </c>
      <c r="D9" s="17" t="n">
        <v>30</v>
      </c>
      <c r="E9" s="19" t="n">
        <f aca="false">C9+D9</f>
        <v>46315</v>
      </c>
      <c r="F9" s="20" t="n">
        <v>2801.45</v>
      </c>
      <c r="G9" s="20" t="n">
        <v>1400.72</v>
      </c>
      <c r="H9" s="7" t="n">
        <f aca="false">F9-G9</f>
        <v>1400.73</v>
      </c>
      <c r="I9" s="21" t="n">
        <f aca="false">IF(H9&lt;=0,0,MAX(0,'Aging Summary'!$C$4-E9))</f>
        <v>0</v>
      </c>
      <c r="J9" s="22" t="str">
        <f aca="false">IF(H9&lt;=0,"Paid",IF(I9=0,"Current",IF(I9&lt;=30,"1-30",IF(I9&lt;=60,"31-60",IF(I9&lt;=90,"61-90","90+")))))</f>
        <v>Current</v>
      </c>
      <c r="K9" s="8" t="str">
        <f aca="false">IF(J9="Paid","None - closed",IF(J9="Current","Schedule for next pay run",IF(J9="1-30","Pay this week",IF(J9="31-60","Contact vendor; confirm balance","Escalate to controller; check for dispute"))))</f>
        <v>Schedule for next pay run</v>
      </c>
      <c r="L9" s="23" t="s">
        <v>35</v>
      </c>
    </row>
    <row r="10" customFormat="false" ht="15" hidden="false" customHeight="false" outlineLevel="0" collapsed="false">
      <c r="A10" s="24" t="s">
        <v>39</v>
      </c>
      <c r="B10" s="24" t="s">
        <v>44</v>
      </c>
      <c r="C10" s="25" t="n">
        <v>46209</v>
      </c>
      <c r="D10" s="24" t="n">
        <v>30</v>
      </c>
      <c r="E10" s="26" t="n">
        <f aca="false">C10+D10</f>
        <v>46239</v>
      </c>
      <c r="F10" s="27" t="n">
        <v>6886.43</v>
      </c>
      <c r="G10" s="27" t="n">
        <v>0</v>
      </c>
      <c r="H10" s="28" t="n">
        <f aca="false">F10-G10</f>
        <v>6886.43</v>
      </c>
      <c r="I10" s="29" t="n">
        <f aca="false">IF(H10&lt;=0,0,MAX(0,'Aging Summary'!$C$4-E10))</f>
        <v>56</v>
      </c>
      <c r="J10" s="30" t="str">
        <f aca="false">IF(H10&lt;=0,"Paid",IF(I10=0,"Current",IF(I10&lt;=30,"1-30",IF(I10&lt;=60,"31-60",IF(I10&lt;=90,"61-90","90+")))))</f>
        <v>31-60</v>
      </c>
      <c r="K10" s="31" t="str">
        <f aca="false">IF(J10="Paid","None - closed",IF(J10="Current","Schedule for next pay run",IF(J10="1-30","Pay this week",IF(J10="31-60","Contact vendor; confirm balance","Escalate to controller; check for dispute"))))</f>
        <v>Contact vendor; confirm balance</v>
      </c>
      <c r="L10" s="32" t="s">
        <v>38</v>
      </c>
    </row>
    <row r="11" customFormat="false" ht="15" hidden="false" customHeight="false" outlineLevel="0" collapsed="false">
      <c r="A11" s="17" t="s">
        <v>45</v>
      </c>
      <c r="B11" s="17" t="s">
        <v>46</v>
      </c>
      <c r="C11" s="18" t="n">
        <v>46175</v>
      </c>
      <c r="D11" s="17" t="n">
        <v>60</v>
      </c>
      <c r="E11" s="19" t="n">
        <f aca="false">C11+D11</f>
        <v>46235</v>
      </c>
      <c r="F11" s="20" t="n">
        <v>7366.86</v>
      </c>
      <c r="G11" s="20" t="n">
        <v>3683.43</v>
      </c>
      <c r="H11" s="7" t="n">
        <f aca="false">F11-G11</f>
        <v>3683.43</v>
      </c>
      <c r="I11" s="21" t="n">
        <f aca="false">IF(H11&lt;=0,0,MAX(0,'Aging Summary'!$C$4-E11))</f>
        <v>60</v>
      </c>
      <c r="J11" s="22" t="str">
        <f aca="false">IF(H11&lt;=0,"Paid",IF(I11=0,"Current",IF(I11&lt;=30,"1-30",IF(I11&lt;=60,"31-60",IF(I11&lt;=90,"61-90","90+")))))</f>
        <v>31-60</v>
      </c>
      <c r="K11" s="8" t="str">
        <f aca="false">IF(J11="Paid","None - closed",IF(J11="Current","Schedule for next pay run",IF(J11="1-30","Pay this week",IF(J11="31-60","Contact vendor; confirm balance","Escalate to controller; check for dispute"))))</f>
        <v>Contact vendor; confirm balance</v>
      </c>
      <c r="L11" s="23" t="s">
        <v>35</v>
      </c>
    </row>
    <row r="12" customFormat="false" ht="15" hidden="false" customHeight="false" outlineLevel="0" collapsed="false">
      <c r="A12" s="24" t="s">
        <v>39</v>
      </c>
      <c r="B12" s="24" t="s">
        <v>47</v>
      </c>
      <c r="C12" s="25" t="n">
        <v>46259</v>
      </c>
      <c r="D12" s="24" t="n">
        <v>45</v>
      </c>
      <c r="E12" s="26" t="n">
        <f aca="false">C12+D12</f>
        <v>46304</v>
      </c>
      <c r="F12" s="27" t="n">
        <v>2050.62</v>
      </c>
      <c r="G12" s="27" t="n">
        <v>1025.31</v>
      </c>
      <c r="H12" s="28" t="n">
        <f aca="false">F12-G12</f>
        <v>1025.31</v>
      </c>
      <c r="I12" s="29" t="n">
        <f aca="false">IF(H12&lt;=0,0,MAX(0,'Aging Summary'!$C$4-E12))</f>
        <v>0</v>
      </c>
      <c r="J12" s="30" t="str">
        <f aca="false">IF(H12&lt;=0,"Paid",IF(I12=0,"Current",IF(I12&lt;=30,"1-30",IF(I12&lt;=60,"31-60",IF(I12&lt;=90,"61-90","90+")))))</f>
        <v>Current</v>
      </c>
      <c r="K12" s="31" t="str">
        <f aca="false">IF(J12="Paid","None - closed",IF(J12="Current","Schedule for next pay run",IF(J12="1-30","Pay this week",IF(J12="31-60","Contact vendor; confirm balance","Escalate to controller; check for dispute"))))</f>
        <v>Schedule for next pay run</v>
      </c>
      <c r="L12" s="32" t="s">
        <v>38</v>
      </c>
    </row>
    <row r="13" customFormat="false" ht="15" hidden="false" customHeight="false" outlineLevel="0" collapsed="false">
      <c r="A13" s="17" t="s">
        <v>33</v>
      </c>
      <c r="B13" s="17" t="s">
        <v>48</v>
      </c>
      <c r="C13" s="18" t="n">
        <v>46246</v>
      </c>
      <c r="D13" s="17" t="n">
        <v>45</v>
      </c>
      <c r="E13" s="19" t="n">
        <f aca="false">C13+D13</f>
        <v>46291</v>
      </c>
      <c r="F13" s="20" t="n">
        <v>228.45</v>
      </c>
      <c r="G13" s="20" t="n">
        <v>0</v>
      </c>
      <c r="H13" s="7" t="n">
        <f aca="false">F13-G13</f>
        <v>228.45</v>
      </c>
      <c r="I13" s="21" t="n">
        <f aca="false">IF(H13&lt;=0,0,MAX(0,'Aging Summary'!$C$4-E13))</f>
        <v>4</v>
      </c>
      <c r="J13" s="22" t="str">
        <f aca="false">IF(H13&lt;=0,"Paid",IF(I13=0,"Current",IF(I13&lt;=30,"1-30",IF(I13&lt;=60,"31-60",IF(I13&lt;=90,"61-90","90+")))))</f>
        <v>1-30</v>
      </c>
      <c r="K13" s="8" t="str">
        <f aca="false">IF(J13="Paid","None - closed",IF(J13="Current","Schedule for next pay run",IF(J13="1-30","Pay this week",IF(J13="31-60","Contact vendor; confirm balance","Escalate to controller; check for dispute"))))</f>
        <v>Pay this week</v>
      </c>
      <c r="L13" s="23" t="s">
        <v>38</v>
      </c>
    </row>
    <row r="14" customFormat="false" ht="15" hidden="false" customHeight="false" outlineLevel="0" collapsed="false">
      <c r="A14" s="24" t="s">
        <v>39</v>
      </c>
      <c r="B14" s="24" t="s">
        <v>49</v>
      </c>
      <c r="C14" s="25" t="n">
        <v>46171</v>
      </c>
      <c r="D14" s="24" t="n">
        <v>45</v>
      </c>
      <c r="E14" s="26" t="n">
        <f aca="false">C14+D14</f>
        <v>46216</v>
      </c>
      <c r="F14" s="27" t="n">
        <v>9114.38</v>
      </c>
      <c r="G14" s="27" t="n">
        <v>4557.19</v>
      </c>
      <c r="H14" s="28" t="n">
        <f aca="false">F14-G14</f>
        <v>4557.19</v>
      </c>
      <c r="I14" s="29" t="n">
        <f aca="false">IF(H14&lt;=0,0,MAX(0,'Aging Summary'!$C$4-E14))</f>
        <v>79</v>
      </c>
      <c r="J14" s="30" t="str">
        <f aca="false">IF(H14&lt;=0,"Paid",IF(I14=0,"Current",IF(I14&lt;=30,"1-30",IF(I14&lt;=60,"31-60",IF(I14&lt;=90,"61-90","90+")))))</f>
        <v>61-90</v>
      </c>
      <c r="K14" s="31" t="str">
        <f aca="false">IF(J14="Paid","None - closed",IF(J14="Current","Schedule for next pay run",IF(J14="1-30","Pay this week",IF(J14="31-60","Contact vendor; confirm balance","Escalate to controller; check for dispute"))))</f>
        <v>Escalate to controller; check for dispute</v>
      </c>
      <c r="L14" s="32" t="s">
        <v>38</v>
      </c>
    </row>
    <row r="15" customFormat="false" ht="15" hidden="false" customHeight="false" outlineLevel="0" collapsed="false">
      <c r="A15" s="17" t="s">
        <v>50</v>
      </c>
      <c r="B15" s="17" t="s">
        <v>51</v>
      </c>
      <c r="C15" s="18" t="n">
        <v>46160</v>
      </c>
      <c r="D15" s="17" t="n">
        <v>45</v>
      </c>
      <c r="E15" s="19" t="n">
        <f aca="false">C15+D15</f>
        <v>46205</v>
      </c>
      <c r="F15" s="20" t="n">
        <v>7023.04</v>
      </c>
      <c r="G15" s="20" t="n">
        <v>0</v>
      </c>
      <c r="H15" s="7" t="n">
        <f aca="false">F15-G15</f>
        <v>7023.04</v>
      </c>
      <c r="I15" s="21" t="n">
        <f aca="false">IF(H15&lt;=0,0,MAX(0,'Aging Summary'!$C$4-E15))</f>
        <v>90</v>
      </c>
      <c r="J15" s="22" t="str">
        <f aca="false">IF(H15&lt;=0,"Paid",IF(I15=0,"Current",IF(I15&lt;=30,"1-30",IF(I15&lt;=60,"31-60",IF(I15&lt;=90,"61-90","90+")))))</f>
        <v>61-90</v>
      </c>
      <c r="K15" s="8" t="str">
        <f aca="false">IF(J15="Paid","None - closed",IF(J15="Current","Schedule for next pay run",IF(J15="1-30","Pay this week",IF(J15="31-60","Contact vendor; confirm balance","Escalate to controller; check for dispute"))))</f>
        <v>Escalate to controller; check for dispute</v>
      </c>
      <c r="L15" s="23" t="s">
        <v>38</v>
      </c>
    </row>
    <row r="16" customFormat="false" ht="15" hidden="false" customHeight="false" outlineLevel="0" collapsed="false">
      <c r="A16" s="24" t="s">
        <v>50</v>
      </c>
      <c r="B16" s="24" t="s">
        <v>52</v>
      </c>
      <c r="C16" s="25" t="n">
        <v>46229</v>
      </c>
      <c r="D16" s="24" t="n">
        <v>30</v>
      </c>
      <c r="E16" s="26" t="n">
        <f aca="false">C16+D16</f>
        <v>46259</v>
      </c>
      <c r="F16" s="27" t="n">
        <v>3591.62</v>
      </c>
      <c r="G16" s="27" t="n">
        <v>0</v>
      </c>
      <c r="H16" s="28" t="n">
        <f aca="false">F16-G16</f>
        <v>3591.62</v>
      </c>
      <c r="I16" s="29" t="n">
        <f aca="false">IF(H16&lt;=0,0,MAX(0,'Aging Summary'!$C$4-E16))</f>
        <v>36</v>
      </c>
      <c r="J16" s="30" t="str">
        <f aca="false">IF(H16&lt;=0,"Paid",IF(I16=0,"Current",IF(I16&lt;=30,"1-30",IF(I16&lt;=60,"31-60",IF(I16&lt;=90,"61-90","90+")))))</f>
        <v>31-60</v>
      </c>
      <c r="K16" s="31" t="str">
        <f aca="false">IF(J16="Paid","None - closed",IF(J16="Current","Schedule for next pay run",IF(J16="1-30","Pay this week",IF(J16="31-60","Contact vendor; confirm balance","Escalate to controller; check for dispute"))))</f>
        <v>Contact vendor; confirm balance</v>
      </c>
      <c r="L16" s="32" t="s">
        <v>38</v>
      </c>
    </row>
    <row r="17" customFormat="false" ht="15" hidden="false" customHeight="false" outlineLevel="0" collapsed="false">
      <c r="A17" s="17" t="s">
        <v>50</v>
      </c>
      <c r="B17" s="17" t="s">
        <v>53</v>
      </c>
      <c r="C17" s="18" t="n">
        <v>46285</v>
      </c>
      <c r="D17" s="17" t="n">
        <v>15</v>
      </c>
      <c r="E17" s="19" t="n">
        <f aca="false">C17+D17</f>
        <v>46300</v>
      </c>
      <c r="F17" s="20" t="n">
        <v>5640.82</v>
      </c>
      <c r="G17" s="20" t="n">
        <v>2820.41</v>
      </c>
      <c r="H17" s="7" t="n">
        <f aca="false">F17-G17</f>
        <v>2820.41</v>
      </c>
      <c r="I17" s="21" t="n">
        <f aca="false">IF(H17&lt;=0,0,MAX(0,'Aging Summary'!$C$4-E17))</f>
        <v>0</v>
      </c>
      <c r="J17" s="22" t="str">
        <f aca="false">IF(H17&lt;=0,"Paid",IF(I17=0,"Current",IF(I17&lt;=30,"1-30",IF(I17&lt;=60,"31-60",IF(I17&lt;=90,"61-90","90+")))))</f>
        <v>Current</v>
      </c>
      <c r="K17" s="8" t="str">
        <f aca="false">IF(J17="Paid","None - closed",IF(J17="Current","Schedule for next pay run",IF(J17="1-30","Pay this week",IF(J17="31-60","Contact vendor; confirm balance","Escalate to controller; check for dispute"))))</f>
        <v>Schedule for next pay run</v>
      </c>
      <c r="L17" s="23" t="s">
        <v>35</v>
      </c>
    </row>
    <row r="18" customFormat="false" ht="15" hidden="false" customHeight="false" outlineLevel="0" collapsed="false">
      <c r="A18" s="24" t="s">
        <v>50</v>
      </c>
      <c r="B18" s="24" t="s">
        <v>54</v>
      </c>
      <c r="C18" s="25" t="n">
        <v>46161</v>
      </c>
      <c r="D18" s="24" t="n">
        <v>30</v>
      </c>
      <c r="E18" s="26" t="n">
        <f aca="false">C18+D18</f>
        <v>46191</v>
      </c>
      <c r="F18" s="27" t="n">
        <v>8714.45</v>
      </c>
      <c r="G18" s="27" t="n">
        <v>8714.45</v>
      </c>
      <c r="H18" s="28" t="n">
        <f aca="false">F18-G18</f>
        <v>0</v>
      </c>
      <c r="I18" s="29" t="n">
        <f aca="false">IF(H18&lt;=0,0,MAX(0,'Aging Summary'!$C$4-E18))</f>
        <v>0</v>
      </c>
      <c r="J18" s="30" t="str">
        <f aca="false">IF(H18&lt;=0,"Paid",IF(I18=0,"Current",IF(I18&lt;=30,"1-30",IF(I18&lt;=60,"31-60",IF(I18&lt;=90,"61-90","90+")))))</f>
        <v>Paid</v>
      </c>
      <c r="K18" s="31" t="str">
        <f aca="false">IF(J18="Paid","None - closed",IF(J18="Current","Schedule for next pay run",IF(J18="1-30","Pay this week",IF(J18="31-60","Contact vendor; confirm balance","Escalate to controller; check for dispute"))))</f>
        <v>None - closed</v>
      </c>
      <c r="L18" s="32" t="s">
        <v>35</v>
      </c>
    </row>
    <row r="19" customFormat="false" ht="15" hidden="false" customHeight="false" outlineLevel="0" collapsed="false">
      <c r="A19" s="17" t="s">
        <v>55</v>
      </c>
      <c r="B19" s="17" t="s">
        <v>56</v>
      </c>
      <c r="C19" s="18" t="n">
        <v>46170</v>
      </c>
      <c r="D19" s="17" t="n">
        <v>45</v>
      </c>
      <c r="E19" s="19" t="n">
        <f aca="false">C19+D19</f>
        <v>46215</v>
      </c>
      <c r="F19" s="20" t="n">
        <v>11779.29</v>
      </c>
      <c r="G19" s="20" t="n">
        <v>5889.65</v>
      </c>
      <c r="H19" s="7" t="n">
        <f aca="false">F19-G19</f>
        <v>5889.64</v>
      </c>
      <c r="I19" s="21" t="n">
        <f aca="false">IF(H19&lt;=0,0,MAX(0,'Aging Summary'!$C$4-E19))</f>
        <v>80</v>
      </c>
      <c r="J19" s="22" t="str">
        <f aca="false">IF(H19&lt;=0,"Paid",IF(I19=0,"Current",IF(I19&lt;=30,"1-30",IF(I19&lt;=60,"31-60",IF(I19&lt;=90,"61-90","90+")))))</f>
        <v>61-90</v>
      </c>
      <c r="K19" s="8" t="str">
        <f aca="false">IF(J19="Paid","None - closed",IF(J19="Current","Schedule for next pay run",IF(J19="1-30","Pay this week",IF(J19="31-60","Contact vendor; confirm balance","Escalate to controller; check for dispute"))))</f>
        <v>Escalate to controller; check for dispute</v>
      </c>
      <c r="L19" s="23" t="s">
        <v>35</v>
      </c>
    </row>
    <row r="20" customFormat="false" ht="15" hidden="false" customHeight="false" outlineLevel="0" collapsed="false">
      <c r="A20" s="24" t="s">
        <v>45</v>
      </c>
      <c r="B20" s="24" t="s">
        <v>57</v>
      </c>
      <c r="C20" s="25" t="n">
        <v>46241</v>
      </c>
      <c r="D20" s="24" t="n">
        <v>30</v>
      </c>
      <c r="E20" s="26" t="n">
        <f aca="false">C20+D20</f>
        <v>46271</v>
      </c>
      <c r="F20" s="27" t="n">
        <v>1869.5</v>
      </c>
      <c r="G20" s="27" t="n">
        <v>0</v>
      </c>
      <c r="H20" s="28" t="n">
        <f aca="false">F20-G20</f>
        <v>1869.5</v>
      </c>
      <c r="I20" s="29" t="n">
        <f aca="false">IF(H20&lt;=0,0,MAX(0,'Aging Summary'!$C$4-E20))</f>
        <v>24</v>
      </c>
      <c r="J20" s="30" t="str">
        <f aca="false">IF(H20&lt;=0,"Paid",IF(I20=0,"Current",IF(I20&lt;=30,"1-30",IF(I20&lt;=60,"31-60",IF(I20&lt;=90,"61-90","90+")))))</f>
        <v>1-30</v>
      </c>
      <c r="K20" s="31" t="str">
        <f aca="false">IF(J20="Paid","None - closed",IF(J20="Current","Schedule for next pay run",IF(J20="1-30","Pay this week",IF(J20="31-60","Contact vendor; confirm balance","Escalate to controller; check for dispute"))))</f>
        <v>Pay this week</v>
      </c>
      <c r="L20" s="32" t="s">
        <v>38</v>
      </c>
    </row>
    <row r="21" customFormat="false" ht="15" hidden="false" customHeight="false" outlineLevel="0" collapsed="false">
      <c r="A21" s="17" t="s">
        <v>58</v>
      </c>
      <c r="B21" s="17" t="s">
        <v>59</v>
      </c>
      <c r="C21" s="18" t="n">
        <v>46212</v>
      </c>
      <c r="D21" s="17" t="n">
        <v>15</v>
      </c>
      <c r="E21" s="19" t="n">
        <f aca="false">C21+D21</f>
        <v>46227</v>
      </c>
      <c r="F21" s="20" t="n">
        <v>8448.64</v>
      </c>
      <c r="G21" s="20" t="n">
        <v>8448.64</v>
      </c>
      <c r="H21" s="7" t="n">
        <f aca="false">F21-G21</f>
        <v>0</v>
      </c>
      <c r="I21" s="21" t="n">
        <f aca="false">IF(H21&lt;=0,0,MAX(0,'Aging Summary'!$C$4-E21))</f>
        <v>0</v>
      </c>
      <c r="J21" s="22" t="str">
        <f aca="false">IF(H21&lt;=0,"Paid",IF(I21=0,"Current",IF(I21&lt;=30,"1-30",IF(I21&lt;=60,"31-60",IF(I21&lt;=90,"61-90","90+")))))</f>
        <v>Paid</v>
      </c>
      <c r="K21" s="8" t="str">
        <f aca="false">IF(J21="Paid","None - closed",IF(J21="Current","Schedule for next pay run",IF(J21="1-30","Pay this week",IF(J21="31-60","Contact vendor; confirm balance","Escalate to controller; check for dispute"))))</f>
        <v>None - closed</v>
      </c>
      <c r="L21" s="23" t="s">
        <v>38</v>
      </c>
    </row>
    <row r="22" customFormat="false" ht="15" hidden="false" customHeight="false" outlineLevel="0" collapsed="false">
      <c r="A22" s="24" t="s">
        <v>60</v>
      </c>
      <c r="B22" s="24" t="s">
        <v>61</v>
      </c>
      <c r="C22" s="25" t="n">
        <v>46215</v>
      </c>
      <c r="D22" s="24" t="n">
        <v>15</v>
      </c>
      <c r="E22" s="26" t="n">
        <f aca="false">C22+D22</f>
        <v>46230</v>
      </c>
      <c r="F22" s="27" t="n">
        <v>11231.37</v>
      </c>
      <c r="G22" s="27" t="n">
        <v>0</v>
      </c>
      <c r="H22" s="28" t="n">
        <f aca="false">F22-G22</f>
        <v>11231.37</v>
      </c>
      <c r="I22" s="29" t="n">
        <f aca="false">IF(H22&lt;=0,0,MAX(0,'Aging Summary'!$C$4-E22))</f>
        <v>65</v>
      </c>
      <c r="J22" s="30" t="str">
        <f aca="false">IF(H22&lt;=0,"Paid",IF(I22=0,"Current",IF(I22&lt;=30,"1-30",IF(I22&lt;=60,"31-60",IF(I22&lt;=90,"61-90","90+")))))</f>
        <v>61-90</v>
      </c>
      <c r="K22" s="31" t="str">
        <f aca="false">IF(J22="Paid","None - closed",IF(J22="Current","Schedule for next pay run",IF(J22="1-30","Pay this week",IF(J22="31-60","Contact vendor; confirm balance","Escalate to controller; check for dispute"))))</f>
        <v>Escalate to controller; check for dispute</v>
      </c>
      <c r="L22" s="32" t="s">
        <v>38</v>
      </c>
    </row>
    <row r="23" customFormat="false" ht="15" hidden="false" customHeight="false" outlineLevel="0" collapsed="false">
      <c r="A23" s="17" t="s">
        <v>41</v>
      </c>
      <c r="B23" s="17" t="s">
        <v>62</v>
      </c>
      <c r="C23" s="18" t="n">
        <v>46256</v>
      </c>
      <c r="D23" s="17" t="n">
        <v>30</v>
      </c>
      <c r="E23" s="19" t="n">
        <f aca="false">C23+D23</f>
        <v>46286</v>
      </c>
      <c r="F23" s="20" t="n">
        <v>11056.5</v>
      </c>
      <c r="G23" s="20" t="n">
        <v>11056.5</v>
      </c>
      <c r="H23" s="7" t="n">
        <f aca="false">F23-G23</f>
        <v>0</v>
      </c>
      <c r="I23" s="21" t="n">
        <f aca="false">IF(H23&lt;=0,0,MAX(0,'Aging Summary'!$C$4-E23))</f>
        <v>0</v>
      </c>
      <c r="J23" s="22" t="str">
        <f aca="false">IF(H23&lt;=0,"Paid",IF(I23=0,"Current",IF(I23&lt;=30,"1-30",IF(I23&lt;=60,"31-60",IF(I23&lt;=90,"61-90","90+")))))</f>
        <v>Paid</v>
      </c>
      <c r="K23" s="8" t="str">
        <f aca="false">IF(J23="Paid","None - closed",IF(J23="Current","Schedule for next pay run",IF(J23="1-30","Pay this week",IF(J23="31-60","Contact vendor; confirm balance","Escalate to controller; check for dispute"))))</f>
        <v>None - closed</v>
      </c>
      <c r="L23" s="23" t="s">
        <v>38</v>
      </c>
    </row>
    <row r="24" customFormat="false" ht="15" hidden="false" customHeight="false" outlineLevel="0" collapsed="false">
      <c r="A24" s="24" t="s">
        <v>33</v>
      </c>
      <c r="B24" s="24" t="s">
        <v>63</v>
      </c>
      <c r="C24" s="25" t="n">
        <v>46191</v>
      </c>
      <c r="D24" s="24" t="n">
        <v>30</v>
      </c>
      <c r="E24" s="26" t="n">
        <f aca="false">C24+D24</f>
        <v>46221</v>
      </c>
      <c r="F24" s="27" t="n">
        <v>2185.64</v>
      </c>
      <c r="G24" s="27" t="n">
        <v>0</v>
      </c>
      <c r="H24" s="28" t="n">
        <f aca="false">F24-G24</f>
        <v>2185.64</v>
      </c>
      <c r="I24" s="29" t="n">
        <f aca="false">IF(H24&lt;=0,0,MAX(0,'Aging Summary'!$C$4-E24))</f>
        <v>74</v>
      </c>
      <c r="J24" s="30" t="str">
        <f aca="false">IF(H24&lt;=0,"Paid",IF(I24=0,"Current",IF(I24&lt;=30,"1-30",IF(I24&lt;=60,"31-60",IF(I24&lt;=90,"61-90","90+")))))</f>
        <v>61-90</v>
      </c>
      <c r="K24" s="31" t="str">
        <f aca="false">IF(J24="Paid","None - closed",IF(J24="Current","Schedule for next pay run",IF(J24="1-30","Pay this week",IF(J24="31-60","Contact vendor; confirm balance","Escalate to controller; check for dispute"))))</f>
        <v>Escalate to controller; check for dispute</v>
      </c>
      <c r="L24" s="32" t="s">
        <v>38</v>
      </c>
    </row>
    <row r="25" customFormat="false" ht="15" hidden="false" customHeight="false" outlineLevel="0" collapsed="false">
      <c r="A25" s="17" t="s">
        <v>64</v>
      </c>
      <c r="B25" s="17" t="s">
        <v>65</v>
      </c>
      <c r="C25" s="18" t="n">
        <v>46161</v>
      </c>
      <c r="D25" s="17" t="n">
        <v>30</v>
      </c>
      <c r="E25" s="19" t="n">
        <f aca="false">C25+D25</f>
        <v>46191</v>
      </c>
      <c r="F25" s="20" t="n">
        <v>4357.91</v>
      </c>
      <c r="G25" s="20" t="n">
        <v>0</v>
      </c>
      <c r="H25" s="7" t="n">
        <f aca="false">F25-G25</f>
        <v>4357.91</v>
      </c>
      <c r="I25" s="21" t="n">
        <f aca="false">IF(H25&lt;=0,0,MAX(0,'Aging Summary'!$C$4-E25))</f>
        <v>104</v>
      </c>
      <c r="J25" s="22" t="str">
        <f aca="false">IF(H25&lt;=0,"Paid",IF(I25=0,"Current",IF(I25&lt;=30,"1-30",IF(I25&lt;=60,"31-60",IF(I25&lt;=90,"61-90","90+")))))</f>
        <v>90+</v>
      </c>
      <c r="K25" s="8" t="str">
        <f aca="false">IF(J25="Paid","None - closed",IF(J25="Current","Schedule for next pay run",IF(J25="1-30","Pay this week",IF(J25="31-60","Contact vendor; confirm balance","Escalate to controller; check for dispute"))))</f>
        <v>Escalate to controller; check for dispute</v>
      </c>
      <c r="L25" s="23" t="s">
        <v>38</v>
      </c>
    </row>
    <row r="26" customFormat="false" ht="15" hidden="false" customHeight="false" outlineLevel="0" collapsed="false">
      <c r="A26" s="24" t="s">
        <v>50</v>
      </c>
      <c r="B26" s="24" t="s">
        <v>66</v>
      </c>
      <c r="C26" s="25" t="n">
        <v>46269</v>
      </c>
      <c r="D26" s="24" t="n">
        <v>60</v>
      </c>
      <c r="E26" s="26" t="n">
        <f aca="false">C26+D26</f>
        <v>46329</v>
      </c>
      <c r="F26" s="27" t="n">
        <v>4688.53</v>
      </c>
      <c r="G26" s="27" t="n">
        <v>0</v>
      </c>
      <c r="H26" s="28" t="n">
        <f aca="false">F26-G26</f>
        <v>4688.53</v>
      </c>
      <c r="I26" s="29" t="n">
        <f aca="false">IF(H26&lt;=0,0,MAX(0,'Aging Summary'!$C$4-E26))</f>
        <v>0</v>
      </c>
      <c r="J26" s="30" t="str">
        <f aca="false">IF(H26&lt;=0,"Paid",IF(I26=0,"Current",IF(I26&lt;=30,"1-30",IF(I26&lt;=60,"31-60",IF(I26&lt;=90,"61-90","90+")))))</f>
        <v>Current</v>
      </c>
      <c r="K26" s="31" t="str">
        <f aca="false">IF(J26="Paid","None - closed",IF(J26="Current","Schedule for next pay run",IF(J26="1-30","Pay this week",IF(J26="31-60","Contact vendor; confirm balance","Escalate to controller; check for dispute"))))</f>
        <v>Schedule for next pay run</v>
      </c>
      <c r="L26" s="32" t="s">
        <v>38</v>
      </c>
    </row>
    <row r="27" customFormat="false" ht="15" hidden="false" customHeight="false" outlineLevel="0" collapsed="false">
      <c r="A27" s="17" t="s">
        <v>50</v>
      </c>
      <c r="B27" s="17" t="s">
        <v>67</v>
      </c>
      <c r="C27" s="18" t="n">
        <v>46180</v>
      </c>
      <c r="D27" s="17" t="n">
        <v>60</v>
      </c>
      <c r="E27" s="19" t="n">
        <f aca="false">C27+D27</f>
        <v>46240</v>
      </c>
      <c r="F27" s="20" t="n">
        <v>402.77</v>
      </c>
      <c r="G27" s="20" t="n">
        <v>0</v>
      </c>
      <c r="H27" s="7" t="n">
        <f aca="false">F27-G27</f>
        <v>402.77</v>
      </c>
      <c r="I27" s="21" t="n">
        <f aca="false">IF(H27&lt;=0,0,MAX(0,'Aging Summary'!$C$4-E27))</f>
        <v>55</v>
      </c>
      <c r="J27" s="22" t="str">
        <f aca="false">IF(H27&lt;=0,"Paid",IF(I27=0,"Current",IF(I27&lt;=30,"1-30",IF(I27&lt;=60,"31-60",IF(I27&lt;=90,"61-90","90+")))))</f>
        <v>31-60</v>
      </c>
      <c r="K27" s="8" t="str">
        <f aca="false">IF(J27="Paid","None - closed",IF(J27="Current","Schedule for next pay run",IF(J27="1-30","Pay this week",IF(J27="31-60","Contact vendor; confirm balance","Escalate to controller; check for dispute"))))</f>
        <v>Contact vendor; confirm balance</v>
      </c>
      <c r="L27" s="23" t="s">
        <v>35</v>
      </c>
    </row>
    <row r="28" customFormat="false" ht="15" hidden="false" customHeight="false" outlineLevel="0" collapsed="false">
      <c r="A28" s="24" t="s">
        <v>41</v>
      </c>
      <c r="B28" s="24" t="s">
        <v>68</v>
      </c>
      <c r="C28" s="25" t="n">
        <v>46217</v>
      </c>
      <c r="D28" s="24" t="n">
        <v>45</v>
      </c>
      <c r="E28" s="26" t="n">
        <f aca="false">C28+D28</f>
        <v>46262</v>
      </c>
      <c r="F28" s="27" t="n">
        <v>12016.74</v>
      </c>
      <c r="G28" s="27" t="n">
        <v>0</v>
      </c>
      <c r="H28" s="28" t="n">
        <f aca="false">F28-G28</f>
        <v>12016.74</v>
      </c>
      <c r="I28" s="29" t="n">
        <f aca="false">IF(H28&lt;=0,0,MAX(0,'Aging Summary'!$C$4-E28))</f>
        <v>33</v>
      </c>
      <c r="J28" s="30" t="str">
        <f aca="false">IF(H28&lt;=0,"Paid",IF(I28=0,"Current",IF(I28&lt;=30,"1-30",IF(I28&lt;=60,"31-60",IF(I28&lt;=90,"61-90","90+")))))</f>
        <v>31-60</v>
      </c>
      <c r="K28" s="31" t="str">
        <f aca="false">IF(J28="Paid","None - closed",IF(J28="Current","Schedule for next pay run",IF(J28="1-30","Pay this week",IF(J28="31-60","Contact vendor; confirm balance","Escalate to controller; check for dispute"))))</f>
        <v>Contact vendor; confirm balance</v>
      </c>
      <c r="L28" s="32" t="s">
        <v>38</v>
      </c>
    </row>
    <row r="29" customFormat="false" ht="15" hidden="false" customHeight="false" outlineLevel="0" collapsed="false">
      <c r="A29" s="17" t="s">
        <v>55</v>
      </c>
      <c r="B29" s="17" t="s">
        <v>69</v>
      </c>
      <c r="C29" s="18" t="n">
        <v>46271</v>
      </c>
      <c r="D29" s="17" t="n">
        <v>30</v>
      </c>
      <c r="E29" s="19" t="n">
        <f aca="false">C29+D29</f>
        <v>46301</v>
      </c>
      <c r="F29" s="20" t="n">
        <v>3530.06</v>
      </c>
      <c r="G29" s="20" t="n">
        <v>0</v>
      </c>
      <c r="H29" s="7" t="n">
        <f aca="false">F29-G29</f>
        <v>3530.06</v>
      </c>
      <c r="I29" s="21" t="n">
        <f aca="false">IF(H29&lt;=0,0,MAX(0,'Aging Summary'!$C$4-E29))</f>
        <v>0</v>
      </c>
      <c r="J29" s="22" t="str">
        <f aca="false">IF(H29&lt;=0,"Paid",IF(I29=0,"Current",IF(I29&lt;=30,"1-30",IF(I29&lt;=60,"31-60",IF(I29&lt;=90,"61-90","90+")))))</f>
        <v>Current</v>
      </c>
      <c r="K29" s="8" t="str">
        <f aca="false">IF(J29="Paid","None - closed",IF(J29="Current","Schedule for next pay run",IF(J29="1-30","Pay this week",IF(J29="31-60","Contact vendor; confirm balance","Escalate to controller; check for dispute"))))</f>
        <v>Schedule for next pay run</v>
      </c>
      <c r="L29" s="23" t="s">
        <v>38</v>
      </c>
    </row>
    <row r="30" customFormat="false" ht="15" hidden="false" customHeight="false" outlineLevel="0" collapsed="false">
      <c r="A30" s="24" t="s">
        <v>45</v>
      </c>
      <c r="B30" s="24" t="s">
        <v>70</v>
      </c>
      <c r="C30" s="25" t="n">
        <v>46184</v>
      </c>
      <c r="D30" s="24" t="n">
        <v>60</v>
      </c>
      <c r="E30" s="26" t="n">
        <f aca="false">C30+D30</f>
        <v>46244</v>
      </c>
      <c r="F30" s="27" t="n">
        <v>10269.82</v>
      </c>
      <c r="G30" s="27" t="n">
        <v>0</v>
      </c>
      <c r="H30" s="28" t="n">
        <f aca="false">F30-G30</f>
        <v>10269.82</v>
      </c>
      <c r="I30" s="29" t="n">
        <f aca="false">IF(H30&lt;=0,0,MAX(0,'Aging Summary'!$C$4-E30))</f>
        <v>51</v>
      </c>
      <c r="J30" s="30" t="str">
        <f aca="false">IF(H30&lt;=0,"Paid",IF(I30=0,"Current",IF(I30&lt;=30,"1-30",IF(I30&lt;=60,"31-60",IF(I30&lt;=90,"61-90","90+")))))</f>
        <v>31-60</v>
      </c>
      <c r="K30" s="31" t="str">
        <f aca="false">IF(J30="Paid","None - closed",IF(J30="Current","Schedule for next pay run",IF(J30="1-30","Pay this week",IF(J30="31-60","Contact vendor; confirm balance","Escalate to controller; check for dispute"))))</f>
        <v>Contact vendor; confirm balance</v>
      </c>
      <c r="L30" s="32" t="s">
        <v>38</v>
      </c>
    </row>
    <row r="31" customFormat="false" ht="15" hidden="false" customHeight="false" outlineLevel="0" collapsed="false">
      <c r="A31" s="17" t="s">
        <v>58</v>
      </c>
      <c r="B31" s="17" t="s">
        <v>71</v>
      </c>
      <c r="C31" s="18" t="n">
        <v>46155</v>
      </c>
      <c r="D31" s="17" t="n">
        <v>45</v>
      </c>
      <c r="E31" s="19" t="n">
        <f aca="false">C31+D31</f>
        <v>46200</v>
      </c>
      <c r="F31" s="20" t="n">
        <v>7209.73</v>
      </c>
      <c r="G31" s="20" t="n">
        <v>0</v>
      </c>
      <c r="H31" s="7" t="n">
        <f aca="false">F31-G31</f>
        <v>7209.73</v>
      </c>
      <c r="I31" s="21" t="n">
        <f aca="false">IF(H31&lt;=0,0,MAX(0,'Aging Summary'!$C$4-E31))</f>
        <v>95</v>
      </c>
      <c r="J31" s="22" t="str">
        <f aca="false">IF(H31&lt;=0,"Paid",IF(I31=0,"Current",IF(I31&lt;=30,"1-30",IF(I31&lt;=60,"31-60",IF(I31&lt;=90,"61-90","90+")))))</f>
        <v>90+</v>
      </c>
      <c r="K31" s="8" t="str">
        <f aca="false">IF(J31="Paid","None - closed",IF(J31="Current","Schedule for next pay run",IF(J31="1-30","Pay this week",IF(J31="31-60","Contact vendor; confirm balance","Escalate to controller; check for dispute"))))</f>
        <v>Escalate to controller; check for dispute</v>
      </c>
      <c r="L31" s="23" t="s">
        <v>38</v>
      </c>
    </row>
    <row r="32" customFormat="false" ht="15" hidden="false" customHeight="false" outlineLevel="0" collapsed="false">
      <c r="A32" s="24" t="s">
        <v>55</v>
      </c>
      <c r="B32" s="24" t="s">
        <v>72</v>
      </c>
      <c r="C32" s="25" t="n">
        <v>46278</v>
      </c>
      <c r="D32" s="24" t="n">
        <v>60</v>
      </c>
      <c r="E32" s="26" t="n">
        <f aca="false">C32+D32</f>
        <v>46338</v>
      </c>
      <c r="F32" s="27" t="n">
        <v>2438.8</v>
      </c>
      <c r="G32" s="27" t="n">
        <v>0</v>
      </c>
      <c r="H32" s="28" t="n">
        <f aca="false">F32-G32</f>
        <v>2438.8</v>
      </c>
      <c r="I32" s="29" t="n">
        <f aca="false">IF(H32&lt;=0,0,MAX(0,'Aging Summary'!$C$4-E32))</f>
        <v>0</v>
      </c>
      <c r="J32" s="30" t="str">
        <f aca="false">IF(H32&lt;=0,"Paid",IF(I32=0,"Current",IF(I32&lt;=30,"1-30",IF(I32&lt;=60,"31-60",IF(I32&lt;=90,"61-90","90+")))))</f>
        <v>Current</v>
      </c>
      <c r="K32" s="31" t="str">
        <f aca="false">IF(J32="Paid","None - closed",IF(J32="Current","Schedule for next pay run",IF(J32="1-30","Pay this week",IF(J32="31-60","Contact vendor; confirm balance","Escalate to controller; check for dispute"))))</f>
        <v>Schedule for next pay run</v>
      </c>
      <c r="L32" s="32" t="s">
        <v>38</v>
      </c>
    </row>
  </sheetData>
  <conditionalFormatting sqref="J5:J32">
    <cfRule type="expression" priority="2" aboveAverage="0" equalAverage="0" bottom="0" percent="0" rank="0" text="" dxfId="0">
      <formula>OR(J5="61-90",J5="90+")</formula>
    </cfRule>
    <cfRule type="cellIs" priority="3" operator="equal" aboveAverage="0" equalAverage="0" bottom="0" percent="0" rank="0" text="" dxfId="1">
      <formula>"31-60"</formula>
    </cfRule>
  </conditionalFormatting>
  <conditionalFormatting sqref="L5:L32">
    <cfRule type="cellIs" priority="4" operator="equal" aboveAverage="0" equalAverage="0" bottom="0" percent="0" rank="0" text="" dxfId="0">
      <formula>"No"</formula>
    </cfRule>
  </conditionalFormatting>
  <dataValidations count="1">
    <dataValidation allowBlank="true" errorStyle="stop" operator="between" showDropDown="false" showErrorMessage="false" showInputMessage="false" sqref="L5:L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2026-09-29T09:16:46Z</dcterms:created>
  <dc:creator>openpyxl</dc:creator>
  <dc:description/>
  <dc:language>en-US</dc:language>
  <cp:lastModifiedBy/>
  <dcterms:modified xsi:type="dcterms:W3CDTF">2026-09-29T05:16:49Z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