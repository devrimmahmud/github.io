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Summary" sheetId="1" state="visible" r:id="rId3"/>
    <sheet name="Account Review Log" sheetId="2" state="visible" r:id="rId4"/>
  </sheets>
  <definedNames>
    <definedName function="false" hidden="false" localSheetId="1" name="_xlnm.Print_Area" vbProcedure="false">'Account Review Log'!$A$1:$N$40</definedName>
    <definedName function="false" hidden="false" localSheetId="0" name="_xlnm.Print_Area" vbProcedure="false">'Review Summary'!$A$1:$F$22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<sst xmlns="http://schemas.openxmlformats.org/spreadsheetml/2006/main" count="71" uniqueCount="60">
  <si>
    <t xml:space="preserve">Credit Account Review Summary</t>
  </si>
  <si>
    <t xml:space="preserve">TEMPLATE  |  Created by Tahsin Devrim Mahmud  |  Contains no real or confidential data</t>
  </si>
  <si>
    <t xml:space="preserve">REVIEW PROGRESS</t>
  </si>
  <si>
    <t xml:space="preserve">HOW TO USE THIS SUMMARY</t>
  </si>
  <si>
    <t xml:space="preserve">Status</t>
  </si>
  <si>
    <t xml:space="preserve">Accounts</t>
  </si>
  <si>
    <t xml:space="preserve">% of Total</t>
  </si>
  <si>
    <t xml:space="preserve">  Complete the Account Review Log tab; this page updates itself.</t>
  </si>
  <si>
    <t xml:space="preserve">Complete</t>
  </si>
  <si>
    <t xml:space="preserve">  Review Progress counts accounts by their current status.</t>
  </si>
  <si>
    <t xml:space="preserve">In Progress</t>
  </si>
  <si>
    <t xml:space="preserve">  Completion rate = accounts fully complete out of all reviewed.</t>
  </si>
  <si>
    <t xml:space="preserve">Needs Attention</t>
  </si>
  <si>
    <t xml:space="preserve">  Use the System Update Checklist for each account so every</t>
  </si>
  <si>
    <t xml:space="preserve">Discrepancy Open</t>
  </si>
  <si>
    <t xml:space="preserve">  platform is updated consistently and nothing is missed.</t>
  </si>
  <si>
    <t xml:space="preserve">Total accounts reviewed</t>
  </si>
  <si>
    <t xml:space="preserve">  Clear the checklist (set back to ☐) before the next account.</t>
  </si>
  <si>
    <t xml:space="preserve">Completion rate</t>
  </si>
  <si>
    <t xml:space="preserve">COLOUR LEGEND</t>
  </si>
  <si>
    <t xml:space="preserve">  Pink column header  =  you type in this column</t>
  </si>
  <si>
    <t xml:space="preserve">SYSTEM UPDATE CHECKLIST (per account)</t>
  </si>
  <si>
    <t xml:space="preserve">  Navy column header  =  calculates automatically (do not overwrite)</t>
  </si>
  <si>
    <t xml:space="preserve">Step</t>
  </si>
  <si>
    <t xml:space="preserve">Done ☐/☑</t>
  </si>
  <si>
    <t xml:space="preserve">  Yellow cell  =  a setting you choose</t>
  </si>
  <si>
    <t xml:space="preserve">Update client record in the CRM</t>
  </si>
  <si>
    <t xml:space="preserve">☐</t>
  </si>
  <si>
    <t xml:space="preserve">  Green / amber / red highlights  =  status flags</t>
  </si>
  <si>
    <t xml:space="preserve">Update the billing / payments system</t>
  </si>
  <si>
    <t xml:space="preserve">Update the loan or lease system</t>
  </si>
  <si>
    <t xml:space="preserve">Save supporting documents to the file</t>
  </si>
  <si>
    <t xml:space="preserve">Add a note to the account history</t>
  </si>
  <si>
    <t xml:space="preserve">Confirm all systems show the same details</t>
  </si>
  <si>
    <t xml:space="preserve">Credit Account Review Log</t>
  </si>
  <si>
    <t xml:space="preserve">Account ID</t>
  </si>
  <si>
    <t xml:space="preserve">Client Name</t>
  </si>
  <si>
    <t xml:space="preserve">Review Date</t>
  </si>
  <si>
    <t xml:space="preserve">Reviewer</t>
  </si>
  <si>
    <t xml:space="preserve">Documents Complete?</t>
  </si>
  <si>
    <t xml:space="preserve">Credit Details Verified?</t>
  </si>
  <si>
    <t xml:space="preserve">Records Match Across Systems?</t>
  </si>
  <si>
    <t xml:space="preserve">Discrepancy Found?</t>
  </si>
  <si>
    <t xml:space="preserve">Discrepancy Description</t>
  </si>
  <si>
    <t xml:space="preserve">Escalated To</t>
  </si>
  <si>
    <t xml:space="preserve">Resolution Date</t>
  </si>
  <si>
    <t xml:space="preserve">Review Status</t>
  </si>
  <si>
    <t xml:space="preserve">HOW TO USE THE REVIEW LOG</t>
  </si>
  <si>
    <t xml:space="preserve">  Add one row per client account you review.</t>
  </si>
  <si>
    <t xml:space="preserve">  Answer each check with Yes, No or N/A from the drop-down.</t>
  </si>
  <si>
    <t xml:space="preserve">  If you find a discrepancy, describe it, note who it was</t>
  </si>
  <si>
    <t xml:space="preserve">  escalated to, and enter the resolution date once fixed.</t>
  </si>
  <si>
    <t xml:space="preserve">REVIEW STATUS (automatic):</t>
  </si>
  <si>
    <t xml:space="preserve">  Complete = all checks passed and nothing left open.</t>
  </si>
  <si>
    <t xml:space="preserve">  In Progress = some checks are still blank.</t>
  </si>
  <si>
    <t xml:space="preserve">  Needs Attention = a check failed and must be fixed.</t>
  </si>
  <si>
    <t xml:space="preserve">  Discrepancy Open = a discrepancy has no resolution date yet.</t>
  </si>
  <si>
    <t xml:space="preserve">PRIVACY:</t>
  </si>
  <si>
    <t xml:space="preserve">  Keep this file on approved company drives only and follow</t>
  </si>
  <si>
    <t xml:space="preserve">  your organization's data-handling policy.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</si>
</sst>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%;;\-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1"/>
      <name val="Arial"/>
      <family val="0"/>
      <charset val="1"/>
    </font>
    <font>
      <i val="true"/>
      <sz val="9"/>
      <color rgb="FFE31B6D"/>
      <name val="Arial"/>
      <family val="0"/>
      <charset val="1"/>
    </font>
    <font>
      <b val="true"/>
      <sz val="11"/>
      <color rgb="FFE31B6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E31B6D"/>
      <name val="Arial"/>
      <family val="0"/>
      <charset val="1"/>
    </font>
    <font>
      <b val="true"/>
      <sz val="10"/>
      <color rgb="FF111821"/>
      <name val="Arial"/>
      <family val="0"/>
      <charset val="1"/>
    </font>
    <font>
      <sz val="12"/>
      <color rgb="FFE31B6D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31B6D"/>
        <bgColor rgb="FFB71C1C"/>
      </patternFill>
    </fill>
    <fill>
      <patternFill patternType="solid">
        <fgColor rgb="FF111821"/>
        <bgColor rgb="FF000000"/>
      </patternFill>
    </fill>
    <fill>
      <patternFill patternType="solid">
        <fgColor rgb="FFFDF0F5"/>
        <bgColor rgb="FFF6F7F9"/>
      </patternFill>
    </fill>
    <fill>
      <patternFill patternType="solid">
        <fgColor rgb="FFF6F7F9"/>
        <bgColor rgb="FFFDF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 diagonalUp="false" diagonalDown="false">
      <left/>
      <right/>
      <top/>
      <bottom style="thick">
        <color rgb="FFE31B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b val="1"/>
        <color rgb="FFB71C1C"/>
      </font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6F7F9"/>
      <rgbColor rgb="FFFDF0F5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1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74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F4" s="4" t="s">
        <v>3</v>
      </c>
    </row>
    <row r="5" customFormat="false" ht="15" hidden="false" customHeight="false" outlineLevel="0" collapsed="false">
      <c r="A5" s="5" t="s">
        <v>4</v>
      </c>
      <c r="C5" s="5" t="s">
        <v>5</v>
      </c>
      <c r="D5" s="5" t="s">
        <v>6</v>
      </c>
      <c r="F5" s="6" t="s">
        <v>7</v>
      </c>
    </row>
    <row r="6" customFormat="false" ht="15" hidden="false" customHeight="false" outlineLevel="0" collapsed="false">
      <c r="A6" s="7" t="s">
        <v>8</v>
      </c>
      <c r="C6" s="8" t="n">
        <f aca="false">COUNTIF('Account Review Log'!$L$5:$L$154,A6)</f>
        <v>0</v>
      </c>
      <c r="D6" s="9" t="n">
        <f aca="false">IFERROR(C6/$C$10,0)</f>
        <v>0</v>
      </c>
      <c r="F6" s="6" t="s">
        <v>9</v>
      </c>
    </row>
    <row r="7" customFormat="false" ht="15" hidden="false" customHeight="false" outlineLevel="0" collapsed="false">
      <c r="A7" s="7" t="s">
        <v>10</v>
      </c>
      <c r="C7" s="8" t="n">
        <f aca="false">COUNTIF('Account Review Log'!$L$5:$L$154,A7)</f>
        <v>0</v>
      </c>
      <c r="D7" s="9" t="n">
        <f aca="false">IFERROR(C7/$C$10,0)</f>
        <v>0</v>
      </c>
      <c r="F7" s="6" t="s">
        <v>11</v>
      </c>
    </row>
    <row r="8" customFormat="false" ht="15" hidden="false" customHeight="false" outlineLevel="0" collapsed="false">
      <c r="A8" s="7" t="s">
        <v>12</v>
      </c>
      <c r="C8" s="8" t="n">
        <f aca="false">COUNTIF('Account Review Log'!$L$5:$L$154,A8)</f>
        <v>0</v>
      </c>
      <c r="D8" s="9" t="n">
        <f aca="false">IFERROR(C8/$C$10,0)</f>
        <v>0</v>
      </c>
      <c r="F8" s="6" t="s">
        <v>13</v>
      </c>
    </row>
    <row r="9" customFormat="false" ht="15" hidden="false" customHeight="false" outlineLevel="0" collapsed="false">
      <c r="A9" s="7" t="s">
        <v>14</v>
      </c>
      <c r="C9" s="8" t="n">
        <f aca="false">COUNTIF('Account Review Log'!$L$5:$L$154,A9)</f>
        <v>0</v>
      </c>
      <c r="D9" s="9" t="n">
        <f aca="false">IFERROR(C9/$C$10,0)</f>
        <v>0</v>
      </c>
      <c r="F9" s="6" t="s">
        <v>15</v>
      </c>
    </row>
    <row r="10" customFormat="false" ht="15" hidden="false" customHeight="false" outlineLevel="0" collapsed="false">
      <c r="A10" s="10" t="s">
        <v>16</v>
      </c>
      <c r="C10" s="11" t="n">
        <f aca="false">SUM(C6:C9)</f>
        <v>0</v>
      </c>
      <c r="F10" s="6" t="s">
        <v>17</v>
      </c>
    </row>
    <row r="11" customFormat="false" ht="15" hidden="false" customHeight="false" outlineLevel="0" collapsed="false">
      <c r="F11" s="6"/>
    </row>
    <row r="12" customFormat="false" ht="17.35" hidden="false" customHeight="false" outlineLevel="0" collapsed="false">
      <c r="A12" s="10" t="s">
        <v>18</v>
      </c>
      <c r="C12" s="12" t="n">
        <f aca="false">IFERROR(C6/C10,0)</f>
        <v>0</v>
      </c>
      <c r="F12" s="13" t="s">
        <v>19</v>
      </c>
    </row>
    <row r="13" customFormat="false" ht="15" hidden="false" customHeight="false" outlineLevel="0" collapsed="false">
      <c r="F13" s="6" t="s">
        <v>20</v>
      </c>
    </row>
    <row r="14" customFormat="false" ht="15" hidden="false" customHeight="false" outlineLevel="0" collapsed="false">
      <c r="A14" s="3" t="s">
        <v>21</v>
      </c>
      <c r="F14" s="6" t="s">
        <v>22</v>
      </c>
    </row>
    <row r="15" customFormat="false" ht="15" hidden="false" customHeight="false" outlineLevel="0" collapsed="false">
      <c r="A15" s="14" t="s">
        <v>23</v>
      </c>
      <c r="C15" s="15" t="s">
        <v>24</v>
      </c>
      <c r="F15" s="6" t="s">
        <v>25</v>
      </c>
    </row>
    <row r="16" customFormat="false" ht="15" hidden="false" customHeight="false" outlineLevel="0" collapsed="false">
      <c r="A16" s="7" t="s">
        <v>26</v>
      </c>
      <c r="C16" s="16" t="s">
        <v>27</v>
      </c>
      <c r="F16" s="17" t="s">
        <v>28</v>
      </c>
    </row>
    <row r="17" customFormat="false" ht="15" hidden="false" customHeight="false" outlineLevel="0" collapsed="false">
      <c r="A17" s="7" t="s">
        <v>29</v>
      </c>
      <c r="C17" s="16" t="s">
        <v>27</v>
      </c>
    </row>
    <row r="18" customFormat="false" ht="15" hidden="false" customHeight="false" outlineLevel="0" collapsed="false">
      <c r="A18" s="7" t="s">
        <v>30</v>
      </c>
      <c r="C18" s="16" t="s">
        <v>27</v>
      </c>
    </row>
    <row r="19" customFormat="false" ht="15" hidden="false" customHeight="false" outlineLevel="0" collapsed="false">
      <c r="A19" s="7" t="s">
        <v>31</v>
      </c>
      <c r="C19" s="16" t="s">
        <v>27</v>
      </c>
    </row>
    <row r="20" customFormat="false" ht="15" hidden="false" customHeight="false" outlineLevel="0" collapsed="false">
      <c r="A20" s="7" t="s">
        <v>32</v>
      </c>
      <c r="C20" s="16" t="s">
        <v>27</v>
      </c>
    </row>
    <row r="21" customFormat="false" ht="15" hidden="false" customHeight="false" outlineLevel="0" collapsed="false">
      <c r="A21" s="7" t="s">
        <v>33</v>
      </c>
      <c r="C21" s="16" t="s">
        <v>27</v>
      </c>
    </row>
  </sheetData>
  <conditionalFormatting sqref="D6:D9">
    <cfRule type="dataBar" priority="2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{35688EA1-7D96-4BD3-908F-269BEB8D11AD}</x14:id>
        </ext>
      </extLst>
    </cfRule>
  </conditionalFormatting>
  <conditionalFormatting sqref="A16:C21">
    <cfRule type="expression" priority="3" aboveAverage="0" equalAverage="0" bottom="0" percent="0" rank="0" text="" dxfId="0">
      <formula>$C16="☑"</formula>
    </cfRule>
  </conditionalFormatting>
  <dataValidations count="1">
    <dataValidation allowBlank="true" errorStyle="stop" operator="between" showDropDown="false" showErrorMessage="false" showInputMessage="false" sqref="C16:C21" type="list">
      <formula1>"☐,☑"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688EA1-7D96-4BD3-908F-269BEB8D11A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D6:D9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3"/>
    <col collapsed="false" customWidth="true" hidden="false" outlineLevel="0" max="14" min="14" style="0" width="74"/>
  </cols>
  <sheetData>
    <row r="1" customFormat="false" ht="27.75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18" t="s">
        <v>35</v>
      </c>
      <c r="B4" s="18" t="s">
        <v>36</v>
      </c>
      <c r="C4" s="18" t="s">
        <v>37</v>
      </c>
      <c r="D4" s="18" t="s">
        <v>38</v>
      </c>
      <c r="E4" s="18" t="s">
        <v>39</v>
      </c>
      <c r="F4" s="18" t="s">
        <v>40</v>
      </c>
      <c r="G4" s="18" t="s">
        <v>41</v>
      </c>
      <c r="H4" s="18" t="s">
        <v>42</v>
      </c>
      <c r="I4" s="18" t="s">
        <v>43</v>
      </c>
      <c r="J4" s="18" t="s">
        <v>44</v>
      </c>
      <c r="K4" s="18" t="s">
        <v>45</v>
      </c>
      <c r="L4" s="19" t="s">
        <v>46</v>
      </c>
      <c r="N4" s="4" t="s">
        <v>47</v>
      </c>
    </row>
    <row r="5" customFormat="false" ht="15" hidden="false" customHeight="false" outlineLevel="0" collapsed="false">
      <c r="A5" s="20"/>
      <c r="B5" s="20"/>
      <c r="C5" s="21"/>
      <c r="D5" s="20"/>
      <c r="E5" s="22"/>
      <c r="F5" s="22"/>
      <c r="G5" s="22"/>
      <c r="H5" s="22"/>
      <c r="I5" s="20"/>
      <c r="J5" s="20"/>
      <c r="K5" s="21"/>
      <c r="L5" s="22" t="str">
        <f aca="false">IF(A5="","",IF(OR(E5="No",F5="No",G5="No"),"Needs Attention",IF(AND(H5="Yes",K5=""),"Discrepancy Open",IF(OR(E5="",F5="",G5="",H5=""),"In Progress","Complete"))))</f>
        <v/>
      </c>
      <c r="N5" s="6" t="s">
        <v>48</v>
      </c>
    </row>
    <row r="6" customFormat="false" ht="15" hidden="false" customHeight="false" outlineLevel="0" collapsed="false">
      <c r="A6" s="23"/>
      <c r="B6" s="23"/>
      <c r="C6" s="24"/>
      <c r="D6" s="23"/>
      <c r="E6" s="25"/>
      <c r="F6" s="25"/>
      <c r="G6" s="25"/>
      <c r="H6" s="25"/>
      <c r="I6" s="23"/>
      <c r="J6" s="23"/>
      <c r="K6" s="24"/>
      <c r="L6" s="25" t="str">
        <f aca="false">IF(A6="","",IF(OR(E6="No",F6="No",G6="No"),"Needs Attention",IF(AND(H6="Yes",K6=""),"Discrepancy Open",IF(OR(E6="",F6="",G6="",H6=""),"In Progress","Complete"))))</f>
        <v/>
      </c>
      <c r="N6" s="6" t="s">
        <v>49</v>
      </c>
    </row>
    <row r="7" customFormat="false" ht="15" hidden="false" customHeight="false" outlineLevel="0" collapsed="false">
      <c r="A7" s="20"/>
      <c r="B7" s="20"/>
      <c r="C7" s="21"/>
      <c r="D7" s="20"/>
      <c r="E7" s="22"/>
      <c r="F7" s="22"/>
      <c r="G7" s="22"/>
      <c r="H7" s="22"/>
      <c r="I7" s="20"/>
      <c r="J7" s="20"/>
      <c r="K7" s="21"/>
      <c r="L7" s="22" t="str">
        <f aca="false">IF(A7="","",IF(OR(E7="No",F7="No",G7="No"),"Needs Attention",IF(AND(H7="Yes",K7=""),"Discrepancy Open",IF(OR(E7="",F7="",G7="",H7=""),"In Progress","Complete"))))</f>
        <v/>
      </c>
      <c r="N7" s="6" t="s">
        <v>50</v>
      </c>
    </row>
    <row r="8" customFormat="false" ht="15" hidden="false" customHeight="false" outlineLevel="0" collapsed="false">
      <c r="A8" s="23"/>
      <c r="B8" s="23"/>
      <c r="C8" s="24"/>
      <c r="D8" s="23"/>
      <c r="E8" s="25"/>
      <c r="F8" s="25"/>
      <c r="G8" s="25"/>
      <c r="H8" s="25"/>
      <c r="I8" s="23"/>
      <c r="J8" s="23"/>
      <c r="K8" s="24"/>
      <c r="L8" s="25" t="str">
        <f aca="false">IF(A8="","",IF(OR(E8="No",F8="No",G8="No"),"Needs Attention",IF(AND(H8="Yes",K8=""),"Discrepancy Open",IF(OR(E8="",F8="",G8="",H8=""),"In Progress","Complete"))))</f>
        <v/>
      </c>
      <c r="N8" s="6" t="s">
        <v>51</v>
      </c>
    </row>
    <row r="9" customFormat="false" ht="15" hidden="false" customHeight="false" outlineLevel="0" collapsed="false">
      <c r="A9" s="20"/>
      <c r="B9" s="20"/>
      <c r="C9" s="21"/>
      <c r="D9" s="20"/>
      <c r="E9" s="22"/>
      <c r="F9" s="22"/>
      <c r="G9" s="22"/>
      <c r="H9" s="22"/>
      <c r="I9" s="20"/>
      <c r="J9" s="20"/>
      <c r="K9" s="21"/>
      <c r="L9" s="22" t="str">
        <f aca="false">IF(A9="","",IF(OR(E9="No",F9="No",G9="No"),"Needs Attention",IF(AND(H9="Yes",K9=""),"Discrepancy Open",IF(OR(E9="",F9="",G9="",H9=""),"In Progress","Complete"))))</f>
        <v/>
      </c>
      <c r="N9" s="13" t="s">
        <v>52</v>
      </c>
    </row>
    <row r="10" customFormat="false" ht="15" hidden="false" customHeight="false" outlineLevel="0" collapsed="false">
      <c r="A10" s="23"/>
      <c r="B10" s="23"/>
      <c r="C10" s="24"/>
      <c r="D10" s="23"/>
      <c r="E10" s="25"/>
      <c r="F10" s="25"/>
      <c r="G10" s="25"/>
      <c r="H10" s="25"/>
      <c r="I10" s="23"/>
      <c r="J10" s="23"/>
      <c r="K10" s="24"/>
      <c r="L10" s="25" t="str">
        <f aca="false">IF(A10="","",IF(OR(E10="No",F10="No",G10="No"),"Needs Attention",IF(AND(H10="Yes",K10=""),"Discrepancy Open",IF(OR(E10="",F10="",G10="",H10=""),"In Progress","Complete"))))</f>
        <v/>
      </c>
      <c r="N10" s="6" t="s">
        <v>53</v>
      </c>
    </row>
    <row r="11" customFormat="false" ht="15" hidden="false" customHeight="false" outlineLevel="0" collapsed="false">
      <c r="A11" s="20"/>
      <c r="B11" s="20"/>
      <c r="C11" s="21"/>
      <c r="D11" s="20"/>
      <c r="E11" s="22"/>
      <c r="F11" s="22"/>
      <c r="G11" s="22"/>
      <c r="H11" s="22"/>
      <c r="I11" s="20"/>
      <c r="J11" s="20"/>
      <c r="K11" s="21"/>
      <c r="L11" s="22" t="str">
        <f aca="false">IF(A11="","",IF(OR(E11="No",F11="No",G11="No"),"Needs Attention",IF(AND(H11="Yes",K11=""),"Discrepancy Open",IF(OR(E11="",F11="",G11="",H11=""),"In Progress","Complete"))))</f>
        <v/>
      </c>
      <c r="N11" s="6" t="s">
        <v>54</v>
      </c>
    </row>
    <row r="12" customFormat="false" ht="15" hidden="false" customHeight="false" outlineLevel="0" collapsed="false">
      <c r="A12" s="23"/>
      <c r="B12" s="23"/>
      <c r="C12" s="24"/>
      <c r="D12" s="23"/>
      <c r="E12" s="25"/>
      <c r="F12" s="25"/>
      <c r="G12" s="25"/>
      <c r="H12" s="25"/>
      <c r="I12" s="23"/>
      <c r="J12" s="23"/>
      <c r="K12" s="24"/>
      <c r="L12" s="25" t="str">
        <f aca="false">IF(A12="","",IF(OR(E12="No",F12="No",G12="No"),"Needs Attention",IF(AND(H12="Yes",K12=""),"Discrepancy Open",IF(OR(E12="",F12="",G12="",H12=""),"In Progress","Complete"))))</f>
        <v/>
      </c>
      <c r="N12" s="6" t="s">
        <v>55</v>
      </c>
    </row>
    <row r="13" customFormat="false" ht="15" hidden="false" customHeight="false" outlineLevel="0" collapsed="false">
      <c r="A13" s="20"/>
      <c r="B13" s="20"/>
      <c r="C13" s="21"/>
      <c r="D13" s="20"/>
      <c r="E13" s="22"/>
      <c r="F13" s="22"/>
      <c r="G13" s="22"/>
      <c r="H13" s="22"/>
      <c r="I13" s="20"/>
      <c r="J13" s="20"/>
      <c r="K13" s="21"/>
      <c r="L13" s="22" t="str">
        <f aca="false">IF(A13="","",IF(OR(E13="No",F13="No",G13="No"),"Needs Attention",IF(AND(H13="Yes",K13=""),"Discrepancy Open",IF(OR(E13="",F13="",G13="",H13=""),"In Progress","Complete"))))</f>
        <v/>
      </c>
      <c r="N13" s="6" t="s">
        <v>56</v>
      </c>
    </row>
    <row r="14" customFormat="false" ht="15" hidden="false" customHeight="false" outlineLevel="0" collapsed="false">
      <c r="A14" s="23"/>
      <c r="B14" s="23"/>
      <c r="C14" s="24"/>
      <c r="D14" s="23"/>
      <c r="E14" s="25"/>
      <c r="F14" s="25"/>
      <c r="G14" s="25"/>
      <c r="H14" s="25"/>
      <c r="I14" s="23"/>
      <c r="J14" s="23"/>
      <c r="K14" s="24"/>
      <c r="L14" s="25" t="str">
        <f aca="false">IF(A14="","",IF(OR(E14="No",F14="No",G14="No"),"Needs Attention",IF(AND(H14="Yes",K14=""),"Discrepancy Open",IF(OR(E14="",F14="",G14="",H14=""),"In Progress","Complete"))))</f>
        <v/>
      </c>
      <c r="N14" s="13" t="s">
        <v>57</v>
      </c>
    </row>
    <row r="15" customFormat="false" ht="15" hidden="false" customHeight="false" outlineLevel="0" collapsed="false">
      <c r="A15" s="20"/>
      <c r="B15" s="20"/>
      <c r="C15" s="21"/>
      <c r="D15" s="20"/>
      <c r="E15" s="22"/>
      <c r="F15" s="22"/>
      <c r="G15" s="22"/>
      <c r="H15" s="22"/>
      <c r="I15" s="20"/>
      <c r="J15" s="20"/>
      <c r="K15" s="21"/>
      <c r="L15" s="22" t="str">
        <f aca="false">IF(A15="","",IF(OR(E15="No",F15="No",G15="No"),"Needs Attention",IF(AND(H15="Yes",K15=""),"Discrepancy Open",IF(OR(E15="",F15="",G15="",H15=""),"In Progress","Complete"))))</f>
        <v/>
      </c>
      <c r="N15" s="6" t="s">
        <v>58</v>
      </c>
    </row>
    <row r="16" customFormat="false" ht="15" hidden="false" customHeight="false" outlineLevel="0" collapsed="false">
      <c r="A16" s="23"/>
      <c r="B16" s="23"/>
      <c r="C16" s="24"/>
      <c r="D16" s="23"/>
      <c r="E16" s="25"/>
      <c r="F16" s="25"/>
      <c r="G16" s="25"/>
      <c r="H16" s="25"/>
      <c r="I16" s="23"/>
      <c r="J16" s="23"/>
      <c r="K16" s="24"/>
      <c r="L16" s="25" t="str">
        <f aca="false">IF(A16="","",IF(OR(E16="No",F16="No",G16="No"),"Needs Attention",IF(AND(H16="Yes",K16=""),"Discrepancy Open",IF(OR(E16="",F16="",G16="",H16=""),"In Progress","Complete"))))</f>
        <v/>
      </c>
      <c r="N16" s="6" t="s">
        <v>59</v>
      </c>
    </row>
    <row r="17" customFormat="false" ht="15" hidden="false" customHeight="false" outlineLevel="0" collapsed="false">
      <c r="A17" s="20"/>
      <c r="B17" s="20"/>
      <c r="C17" s="21"/>
      <c r="D17" s="20"/>
      <c r="E17" s="22"/>
      <c r="F17" s="22"/>
      <c r="G17" s="22"/>
      <c r="H17" s="22"/>
      <c r="I17" s="20"/>
      <c r="J17" s="20"/>
      <c r="K17" s="21"/>
      <c r="L17" s="22" t="str">
        <f aca="false">IF(A17="","",IF(OR(E17="No",F17="No",G17="No"),"Needs Attention",IF(AND(H17="Yes",K17=""),"Discrepancy Open",IF(OR(E17="",F17="",G17="",H17=""),"In Progress","Complete"))))</f>
        <v/>
      </c>
      <c r="N17" s="6"/>
    </row>
    <row r="18" customFormat="false" ht="15" hidden="false" customHeight="false" outlineLevel="0" collapsed="false">
      <c r="A18" s="23"/>
      <c r="B18" s="23"/>
      <c r="C18" s="24"/>
      <c r="D18" s="23"/>
      <c r="E18" s="25"/>
      <c r="F18" s="25"/>
      <c r="G18" s="25"/>
      <c r="H18" s="25"/>
      <c r="I18" s="23"/>
      <c r="J18" s="23"/>
      <c r="K18" s="24"/>
      <c r="L18" s="25" t="str">
        <f aca="false">IF(A18="","",IF(OR(E18="No",F18="No",G18="No"),"Needs Attention",IF(AND(H18="Yes",K18=""),"Discrepancy Open",IF(OR(E18="",F18="",G18="",H18=""),"In Progress","Complete"))))</f>
        <v/>
      </c>
      <c r="N18" s="13" t="s">
        <v>19</v>
      </c>
    </row>
    <row r="19" customFormat="false" ht="15" hidden="false" customHeight="false" outlineLevel="0" collapsed="false">
      <c r="A19" s="20"/>
      <c r="B19" s="20"/>
      <c r="C19" s="21"/>
      <c r="D19" s="20"/>
      <c r="E19" s="22"/>
      <c r="F19" s="22"/>
      <c r="G19" s="22"/>
      <c r="H19" s="22"/>
      <c r="I19" s="20"/>
      <c r="J19" s="20"/>
      <c r="K19" s="21"/>
      <c r="L19" s="22" t="str">
        <f aca="false">IF(A19="","",IF(OR(E19="No",F19="No",G19="No"),"Needs Attention",IF(AND(H19="Yes",K19=""),"Discrepancy Open",IF(OR(E19="",F19="",G19="",H19=""),"In Progress","Complete"))))</f>
        <v/>
      </c>
      <c r="N19" s="6" t="s">
        <v>20</v>
      </c>
    </row>
    <row r="20" customFormat="false" ht="15" hidden="false" customHeight="false" outlineLevel="0" collapsed="false">
      <c r="A20" s="23"/>
      <c r="B20" s="23"/>
      <c r="C20" s="24"/>
      <c r="D20" s="23"/>
      <c r="E20" s="25"/>
      <c r="F20" s="25"/>
      <c r="G20" s="25"/>
      <c r="H20" s="25"/>
      <c r="I20" s="23"/>
      <c r="J20" s="23"/>
      <c r="K20" s="24"/>
      <c r="L20" s="25" t="str">
        <f aca="false">IF(A20="","",IF(OR(E20="No",F20="No",G20="No"),"Needs Attention",IF(AND(H20="Yes",K20=""),"Discrepancy Open",IF(OR(E20="",F20="",G20="",H20=""),"In Progress","Complete"))))</f>
        <v/>
      </c>
      <c r="N20" s="6" t="s">
        <v>22</v>
      </c>
    </row>
    <row r="21" customFormat="false" ht="15" hidden="false" customHeight="false" outlineLevel="0" collapsed="false">
      <c r="A21" s="20"/>
      <c r="B21" s="20"/>
      <c r="C21" s="21"/>
      <c r="D21" s="20"/>
      <c r="E21" s="22"/>
      <c r="F21" s="22"/>
      <c r="G21" s="22"/>
      <c r="H21" s="22"/>
      <c r="I21" s="20"/>
      <c r="J21" s="20"/>
      <c r="K21" s="21"/>
      <c r="L21" s="22" t="str">
        <f aca="false">IF(A21="","",IF(OR(E21="No",F21="No",G21="No"),"Needs Attention",IF(AND(H21="Yes",K21=""),"Discrepancy Open",IF(OR(E21="",F21="",G21="",H21=""),"In Progress","Complete"))))</f>
        <v/>
      </c>
      <c r="N21" s="6" t="s">
        <v>25</v>
      </c>
    </row>
    <row r="22" customFormat="false" ht="15" hidden="false" customHeight="false" outlineLevel="0" collapsed="false">
      <c r="A22" s="23"/>
      <c r="B22" s="23"/>
      <c r="C22" s="24"/>
      <c r="D22" s="23"/>
      <c r="E22" s="25"/>
      <c r="F22" s="25"/>
      <c r="G22" s="25"/>
      <c r="H22" s="25"/>
      <c r="I22" s="23"/>
      <c r="J22" s="23"/>
      <c r="K22" s="24"/>
      <c r="L22" s="25" t="str">
        <f aca="false">IF(A22="","",IF(OR(E22="No",F22="No",G22="No"),"Needs Attention",IF(AND(H22="Yes",K22=""),"Discrepancy Open",IF(OR(E22="",F22="",G22="",H22=""),"In Progress","Complete"))))</f>
        <v/>
      </c>
      <c r="N22" s="17" t="s">
        <v>28</v>
      </c>
    </row>
    <row r="23" customFormat="false" ht="15" hidden="false" customHeight="false" outlineLevel="0" collapsed="false">
      <c r="A23" s="20"/>
      <c r="B23" s="20"/>
      <c r="C23" s="21"/>
      <c r="D23" s="20"/>
      <c r="E23" s="22"/>
      <c r="F23" s="22"/>
      <c r="G23" s="22"/>
      <c r="H23" s="22"/>
      <c r="I23" s="20"/>
      <c r="J23" s="20"/>
      <c r="K23" s="21"/>
      <c r="L23" s="22" t="str">
        <f aca="false">IF(A23="","",IF(OR(E23="No",F23="No",G23="No"),"Needs Attention",IF(AND(H23="Yes",K23=""),"Discrepancy Open",IF(OR(E23="",F23="",G23="",H23=""),"In Progress","Complete"))))</f>
        <v/>
      </c>
    </row>
    <row r="24" customFormat="false" ht="15" hidden="false" customHeight="false" outlineLevel="0" collapsed="false">
      <c r="A24" s="23"/>
      <c r="B24" s="23"/>
      <c r="C24" s="24"/>
      <c r="D24" s="23"/>
      <c r="E24" s="25"/>
      <c r="F24" s="25"/>
      <c r="G24" s="25"/>
      <c r="H24" s="25"/>
      <c r="I24" s="23"/>
      <c r="J24" s="23"/>
      <c r="K24" s="24"/>
      <c r="L24" s="25" t="str">
        <f aca="false">IF(A24="","",IF(OR(E24="No",F24="No",G24="No"),"Needs Attention",IF(AND(H24="Yes",K24=""),"Discrepancy Open",IF(OR(E24="",F24="",G24="",H24=""),"In Progress","Complete"))))</f>
        <v/>
      </c>
    </row>
    <row r="25" customFormat="false" ht="15" hidden="false" customHeight="false" outlineLevel="0" collapsed="false">
      <c r="A25" s="20"/>
      <c r="B25" s="20"/>
      <c r="C25" s="21"/>
      <c r="D25" s="20"/>
      <c r="E25" s="22"/>
      <c r="F25" s="22"/>
      <c r="G25" s="22"/>
      <c r="H25" s="22"/>
      <c r="I25" s="20"/>
      <c r="J25" s="20"/>
      <c r="K25" s="21"/>
      <c r="L25" s="22" t="str">
        <f aca="false">IF(A25="","",IF(OR(E25="No",F25="No",G25="No"),"Needs Attention",IF(AND(H25="Yes",K25=""),"Discrepancy Open",IF(OR(E25="",F25="",G25="",H25=""),"In Progress","Complete"))))</f>
        <v/>
      </c>
    </row>
    <row r="26" customFormat="false" ht="15" hidden="false" customHeight="false" outlineLevel="0" collapsed="false">
      <c r="A26" s="23"/>
      <c r="B26" s="23"/>
      <c r="C26" s="24"/>
      <c r="D26" s="23"/>
      <c r="E26" s="25"/>
      <c r="F26" s="25"/>
      <c r="G26" s="25"/>
      <c r="H26" s="25"/>
      <c r="I26" s="23"/>
      <c r="J26" s="23"/>
      <c r="K26" s="24"/>
      <c r="L26" s="25" t="str">
        <f aca="false">IF(A26="","",IF(OR(E26="No",F26="No",G26="No"),"Needs Attention",IF(AND(H26="Yes",K26=""),"Discrepancy Open",IF(OR(E26="",F26="",G26="",H26=""),"In Progress","Complete"))))</f>
        <v/>
      </c>
    </row>
    <row r="27" customFormat="false" ht="15" hidden="false" customHeight="false" outlineLevel="0" collapsed="false">
      <c r="A27" s="20"/>
      <c r="B27" s="20"/>
      <c r="C27" s="21"/>
      <c r="D27" s="20"/>
      <c r="E27" s="22"/>
      <c r="F27" s="22"/>
      <c r="G27" s="22"/>
      <c r="H27" s="22"/>
      <c r="I27" s="20"/>
      <c r="J27" s="20"/>
      <c r="K27" s="21"/>
      <c r="L27" s="22" t="str">
        <f aca="false">IF(A27="","",IF(OR(E27="No",F27="No",G27="No"),"Needs Attention",IF(AND(H27="Yes",K27=""),"Discrepancy Open",IF(OR(E27="",F27="",G27="",H27=""),"In Progress","Complete"))))</f>
        <v/>
      </c>
    </row>
    <row r="28" customFormat="false" ht="15" hidden="false" customHeight="false" outlineLevel="0" collapsed="false">
      <c r="A28" s="23"/>
      <c r="B28" s="23"/>
      <c r="C28" s="24"/>
      <c r="D28" s="23"/>
      <c r="E28" s="25"/>
      <c r="F28" s="25"/>
      <c r="G28" s="25"/>
      <c r="H28" s="25"/>
      <c r="I28" s="23"/>
      <c r="J28" s="23"/>
      <c r="K28" s="24"/>
      <c r="L28" s="25" t="str">
        <f aca="false">IF(A28="","",IF(OR(E28="No",F28="No",G28="No"),"Needs Attention",IF(AND(H28="Yes",K28=""),"Discrepancy Open",IF(OR(E28="",F28="",G28="",H28=""),"In Progress","Complete"))))</f>
        <v/>
      </c>
    </row>
    <row r="29" customFormat="false" ht="15" hidden="false" customHeight="false" outlineLevel="0" collapsed="false">
      <c r="A29" s="20"/>
      <c r="B29" s="20"/>
      <c r="C29" s="21"/>
      <c r="D29" s="20"/>
      <c r="E29" s="22"/>
      <c r="F29" s="22"/>
      <c r="G29" s="22"/>
      <c r="H29" s="22"/>
      <c r="I29" s="20"/>
      <c r="J29" s="20"/>
      <c r="K29" s="21"/>
      <c r="L29" s="22" t="str">
        <f aca="false">IF(A29="","",IF(OR(E29="No",F29="No",G29="No"),"Needs Attention",IF(AND(H29="Yes",K29=""),"Discrepancy Open",IF(OR(E29="",F29="",G29="",H29=""),"In Progress","Complete"))))</f>
        <v/>
      </c>
    </row>
    <row r="30" customFormat="false" ht="15" hidden="false" customHeight="false" outlineLevel="0" collapsed="false">
      <c r="A30" s="23"/>
      <c r="B30" s="23"/>
      <c r="C30" s="24"/>
      <c r="D30" s="23"/>
      <c r="E30" s="25"/>
      <c r="F30" s="25"/>
      <c r="G30" s="25"/>
      <c r="H30" s="25"/>
      <c r="I30" s="23"/>
      <c r="J30" s="23"/>
      <c r="K30" s="24"/>
      <c r="L30" s="25" t="str">
        <f aca="false">IF(A30="","",IF(OR(E30="No",F30="No",G30="No"),"Needs Attention",IF(AND(H30="Yes",K30=""),"Discrepancy Open",IF(OR(E30="",F30="",G30="",H30=""),"In Progress","Complete"))))</f>
        <v/>
      </c>
    </row>
    <row r="31" customFormat="false" ht="15" hidden="false" customHeight="false" outlineLevel="0" collapsed="false">
      <c r="A31" s="20"/>
      <c r="B31" s="20"/>
      <c r="C31" s="21"/>
      <c r="D31" s="20"/>
      <c r="E31" s="22"/>
      <c r="F31" s="22"/>
      <c r="G31" s="22"/>
      <c r="H31" s="22"/>
      <c r="I31" s="20"/>
      <c r="J31" s="20"/>
      <c r="K31" s="21"/>
      <c r="L31" s="22" t="str">
        <f aca="false">IF(A31="","",IF(OR(E31="No",F31="No",G31="No"),"Needs Attention",IF(AND(H31="Yes",K31=""),"Discrepancy Open",IF(OR(E31="",F31="",G31="",H31=""),"In Progress","Complete"))))</f>
        <v/>
      </c>
    </row>
    <row r="32" customFormat="false" ht="15" hidden="false" customHeight="false" outlineLevel="0" collapsed="false">
      <c r="A32" s="23"/>
      <c r="B32" s="23"/>
      <c r="C32" s="24"/>
      <c r="D32" s="23"/>
      <c r="E32" s="25"/>
      <c r="F32" s="25"/>
      <c r="G32" s="25"/>
      <c r="H32" s="25"/>
      <c r="I32" s="23"/>
      <c r="J32" s="23"/>
      <c r="K32" s="24"/>
      <c r="L32" s="25" t="str">
        <f aca="false">IF(A32="","",IF(OR(E32="No",F32="No",G32="No"),"Needs Attention",IF(AND(H32="Yes",K32=""),"Discrepancy Open",IF(OR(E32="",F32="",G32="",H32=""),"In Progress","Complete"))))</f>
        <v/>
      </c>
    </row>
    <row r="33" customFormat="false" ht="15" hidden="false" customHeight="false" outlineLevel="0" collapsed="false">
      <c r="A33" s="20"/>
      <c r="B33" s="20"/>
      <c r="C33" s="21"/>
      <c r="D33" s="20"/>
      <c r="E33" s="22"/>
      <c r="F33" s="22"/>
      <c r="G33" s="22"/>
      <c r="H33" s="22"/>
      <c r="I33" s="20"/>
      <c r="J33" s="20"/>
      <c r="K33" s="21"/>
      <c r="L33" s="22" t="str">
        <f aca="false">IF(A33="","",IF(OR(E33="No",F33="No",G33="No"),"Needs Attention",IF(AND(H33="Yes",K33=""),"Discrepancy Open",IF(OR(E33="",F33="",G33="",H33=""),"In Progress","Complete"))))</f>
        <v/>
      </c>
    </row>
    <row r="34" customFormat="false" ht="15" hidden="false" customHeight="false" outlineLevel="0" collapsed="false">
      <c r="A34" s="23"/>
      <c r="B34" s="23"/>
      <c r="C34" s="24"/>
      <c r="D34" s="23"/>
      <c r="E34" s="25"/>
      <c r="F34" s="25"/>
      <c r="G34" s="25"/>
      <c r="H34" s="25"/>
      <c r="I34" s="23"/>
      <c r="J34" s="23"/>
      <c r="K34" s="24"/>
      <c r="L34" s="25" t="str">
        <f aca="false">IF(A34="","",IF(OR(E34="No",F34="No",G34="No"),"Needs Attention",IF(AND(H34="Yes",K34=""),"Discrepancy Open",IF(OR(E34="",F34="",G34="",H34=""),"In Progress","Complete"))))</f>
        <v/>
      </c>
    </row>
    <row r="35" customFormat="false" ht="15" hidden="false" customHeight="false" outlineLevel="0" collapsed="false">
      <c r="A35" s="20"/>
      <c r="B35" s="20"/>
      <c r="C35" s="21"/>
      <c r="D35" s="20"/>
      <c r="E35" s="22"/>
      <c r="F35" s="22"/>
      <c r="G35" s="22"/>
      <c r="H35" s="22"/>
      <c r="I35" s="20"/>
      <c r="J35" s="20"/>
      <c r="K35" s="21"/>
      <c r="L35" s="22" t="str">
        <f aca="false">IF(A35="","",IF(OR(E35="No",F35="No",G35="No"),"Needs Attention",IF(AND(H35="Yes",K35=""),"Discrepancy Open",IF(OR(E35="",F35="",G35="",H35=""),"In Progress","Complete"))))</f>
        <v/>
      </c>
    </row>
    <row r="36" customFormat="false" ht="15" hidden="false" customHeight="false" outlineLevel="0" collapsed="false">
      <c r="A36" s="23"/>
      <c r="B36" s="23"/>
      <c r="C36" s="24"/>
      <c r="D36" s="23"/>
      <c r="E36" s="25"/>
      <c r="F36" s="25"/>
      <c r="G36" s="25"/>
      <c r="H36" s="25"/>
      <c r="I36" s="23"/>
      <c r="J36" s="23"/>
      <c r="K36" s="24"/>
      <c r="L36" s="25" t="str">
        <f aca="false">IF(A36="","",IF(OR(E36="No",F36="No",G36="No"),"Needs Attention",IF(AND(H36="Yes",K36=""),"Discrepancy Open",IF(OR(E36="",F36="",G36="",H36=""),"In Progress","Complete"))))</f>
        <v/>
      </c>
    </row>
    <row r="37" customFormat="false" ht="15" hidden="false" customHeight="false" outlineLevel="0" collapsed="false">
      <c r="A37" s="20"/>
      <c r="B37" s="20"/>
      <c r="C37" s="21"/>
      <c r="D37" s="20"/>
      <c r="E37" s="22"/>
      <c r="F37" s="22"/>
      <c r="G37" s="22"/>
      <c r="H37" s="22"/>
      <c r="I37" s="20"/>
      <c r="J37" s="20"/>
      <c r="K37" s="21"/>
      <c r="L37" s="22" t="str">
        <f aca="false">IF(A37="","",IF(OR(E37="No",F37="No",G37="No"),"Needs Attention",IF(AND(H37="Yes",K37=""),"Discrepancy Open",IF(OR(E37="",F37="",G37="",H37=""),"In Progress","Complete"))))</f>
        <v/>
      </c>
    </row>
    <row r="38" customFormat="false" ht="15" hidden="false" customHeight="false" outlineLevel="0" collapsed="false">
      <c r="A38" s="23"/>
      <c r="B38" s="23"/>
      <c r="C38" s="24"/>
      <c r="D38" s="23"/>
      <c r="E38" s="25"/>
      <c r="F38" s="25"/>
      <c r="G38" s="25"/>
      <c r="H38" s="25"/>
      <c r="I38" s="23"/>
      <c r="J38" s="23"/>
      <c r="K38" s="24"/>
      <c r="L38" s="25" t="str">
        <f aca="false">IF(A38="","",IF(OR(E38="No",F38="No",G38="No"),"Needs Attention",IF(AND(H38="Yes",K38=""),"Discrepancy Open",IF(OR(E38="",F38="",G38="",H38=""),"In Progress","Complete"))))</f>
        <v/>
      </c>
    </row>
    <row r="39" customFormat="false" ht="15" hidden="false" customHeight="false" outlineLevel="0" collapsed="false">
      <c r="A39" s="20"/>
      <c r="B39" s="20"/>
      <c r="C39" s="21"/>
      <c r="D39" s="20"/>
      <c r="E39" s="22"/>
      <c r="F39" s="22"/>
      <c r="G39" s="22"/>
      <c r="H39" s="22"/>
      <c r="I39" s="20"/>
      <c r="J39" s="20"/>
      <c r="K39" s="21"/>
      <c r="L39" s="22" t="str">
        <f aca="false">IF(A39="","",IF(OR(E39="No",F39="No",G39="No"),"Needs Attention",IF(AND(H39="Yes",K39=""),"Discrepancy Open",IF(OR(E39="",F39="",G39="",H39=""),"In Progress","Complete"))))</f>
        <v/>
      </c>
    </row>
    <row r="40" customFormat="false" ht="15" hidden="false" customHeight="false" outlineLevel="0" collapsed="false">
      <c r="A40" s="23"/>
      <c r="B40" s="23"/>
      <c r="C40" s="24"/>
      <c r="D40" s="23"/>
      <c r="E40" s="25"/>
      <c r="F40" s="25"/>
      <c r="G40" s="25"/>
      <c r="H40" s="25"/>
      <c r="I40" s="23"/>
      <c r="J40" s="23"/>
      <c r="K40" s="24"/>
      <c r="L40" s="25" t="str">
        <f aca="false">IF(A40="","",IF(OR(E40="No",F40="No",G40="No"),"Needs Attention",IF(AND(H40="Yes",K40=""),"Discrepancy Open",IF(OR(E40="",F40="",G40="",H40=""),"In Progress","Complete"))))</f>
        <v/>
      </c>
    </row>
    <row r="41" customFormat="false" ht="15" hidden="false" customHeight="false" outlineLevel="0" collapsed="false">
      <c r="A41" s="20"/>
      <c r="B41" s="20"/>
      <c r="C41" s="21"/>
      <c r="D41" s="20"/>
      <c r="E41" s="22"/>
      <c r="F41" s="22"/>
      <c r="G41" s="22"/>
      <c r="H41" s="22"/>
      <c r="I41" s="20"/>
      <c r="J41" s="20"/>
      <c r="K41" s="21"/>
      <c r="L41" s="22" t="str">
        <f aca="false">IF(A41="","",IF(OR(E41="No",F41="No",G41="No"),"Needs Attention",IF(AND(H41="Yes",K41=""),"Discrepancy Open",IF(OR(E41="",F41="",G41="",H41=""),"In Progress","Complete"))))</f>
        <v/>
      </c>
    </row>
    <row r="42" customFormat="false" ht="15" hidden="false" customHeight="false" outlineLevel="0" collapsed="false">
      <c r="A42" s="23"/>
      <c r="B42" s="23"/>
      <c r="C42" s="24"/>
      <c r="D42" s="23"/>
      <c r="E42" s="25"/>
      <c r="F42" s="25"/>
      <c r="G42" s="25"/>
      <c r="H42" s="25"/>
      <c r="I42" s="23"/>
      <c r="J42" s="23"/>
      <c r="K42" s="24"/>
      <c r="L42" s="25" t="str">
        <f aca="false">IF(A42="","",IF(OR(E42="No",F42="No",G42="No"),"Needs Attention",IF(AND(H42="Yes",K42=""),"Discrepancy Open",IF(OR(E42="",F42="",G42="",H42=""),"In Progress","Complete"))))</f>
        <v/>
      </c>
    </row>
    <row r="43" customFormat="false" ht="15" hidden="false" customHeight="false" outlineLevel="0" collapsed="false">
      <c r="A43" s="20"/>
      <c r="B43" s="20"/>
      <c r="C43" s="21"/>
      <c r="D43" s="20"/>
      <c r="E43" s="22"/>
      <c r="F43" s="22"/>
      <c r="G43" s="22"/>
      <c r="H43" s="22"/>
      <c r="I43" s="20"/>
      <c r="J43" s="20"/>
      <c r="K43" s="21"/>
      <c r="L43" s="22" t="str">
        <f aca="false">IF(A43="","",IF(OR(E43="No",F43="No",G43="No"),"Needs Attention",IF(AND(H43="Yes",K43=""),"Discrepancy Open",IF(OR(E43="",F43="",G43="",H43=""),"In Progress","Complete"))))</f>
        <v/>
      </c>
    </row>
    <row r="44" customFormat="false" ht="15" hidden="false" customHeight="false" outlineLevel="0" collapsed="false">
      <c r="A44" s="23"/>
      <c r="B44" s="23"/>
      <c r="C44" s="24"/>
      <c r="D44" s="23"/>
      <c r="E44" s="25"/>
      <c r="F44" s="25"/>
      <c r="G44" s="25"/>
      <c r="H44" s="25"/>
      <c r="I44" s="23"/>
      <c r="J44" s="23"/>
      <c r="K44" s="24"/>
      <c r="L44" s="25" t="str">
        <f aca="false">IF(A44="","",IF(OR(E44="No",F44="No",G44="No"),"Needs Attention",IF(AND(H44="Yes",K44=""),"Discrepancy Open",IF(OR(E44="",F44="",G44="",H44=""),"In Progress","Complete"))))</f>
        <v/>
      </c>
    </row>
    <row r="45" customFormat="false" ht="15" hidden="false" customHeight="false" outlineLevel="0" collapsed="false">
      <c r="A45" s="20"/>
      <c r="B45" s="20"/>
      <c r="C45" s="21"/>
      <c r="D45" s="20"/>
      <c r="E45" s="22"/>
      <c r="F45" s="22"/>
      <c r="G45" s="22"/>
      <c r="H45" s="22"/>
      <c r="I45" s="20"/>
      <c r="J45" s="20"/>
      <c r="K45" s="21"/>
      <c r="L45" s="22" t="str">
        <f aca="false">IF(A45="","",IF(OR(E45="No",F45="No",G45="No"),"Needs Attention",IF(AND(H45="Yes",K45=""),"Discrepancy Open",IF(OR(E45="",F45="",G45="",H45=""),"In Progress","Complete"))))</f>
        <v/>
      </c>
    </row>
    <row r="46" customFormat="false" ht="15" hidden="false" customHeight="false" outlineLevel="0" collapsed="false">
      <c r="A46" s="23"/>
      <c r="B46" s="23"/>
      <c r="C46" s="24"/>
      <c r="D46" s="23"/>
      <c r="E46" s="25"/>
      <c r="F46" s="25"/>
      <c r="G46" s="25"/>
      <c r="H46" s="25"/>
      <c r="I46" s="23"/>
      <c r="J46" s="23"/>
      <c r="K46" s="24"/>
      <c r="L46" s="25" t="str">
        <f aca="false">IF(A46="","",IF(OR(E46="No",F46="No",G46="No"),"Needs Attention",IF(AND(H46="Yes",K46=""),"Discrepancy Open",IF(OR(E46="",F46="",G46="",H46=""),"In Progress","Complete"))))</f>
        <v/>
      </c>
    </row>
    <row r="47" customFormat="false" ht="15" hidden="false" customHeight="false" outlineLevel="0" collapsed="false">
      <c r="A47" s="20"/>
      <c r="B47" s="20"/>
      <c r="C47" s="21"/>
      <c r="D47" s="20"/>
      <c r="E47" s="22"/>
      <c r="F47" s="22"/>
      <c r="G47" s="22"/>
      <c r="H47" s="22"/>
      <c r="I47" s="20"/>
      <c r="J47" s="20"/>
      <c r="K47" s="21"/>
      <c r="L47" s="22" t="str">
        <f aca="false">IF(A47="","",IF(OR(E47="No",F47="No",G47="No"),"Needs Attention",IF(AND(H47="Yes",K47=""),"Discrepancy Open",IF(OR(E47="",F47="",G47="",H47=""),"In Progress","Complete"))))</f>
        <v/>
      </c>
    </row>
    <row r="48" customFormat="false" ht="15" hidden="false" customHeight="false" outlineLevel="0" collapsed="false">
      <c r="A48" s="23"/>
      <c r="B48" s="23"/>
      <c r="C48" s="24"/>
      <c r="D48" s="23"/>
      <c r="E48" s="25"/>
      <c r="F48" s="25"/>
      <c r="G48" s="25"/>
      <c r="H48" s="25"/>
      <c r="I48" s="23"/>
      <c r="J48" s="23"/>
      <c r="K48" s="24"/>
      <c r="L48" s="25" t="str">
        <f aca="false">IF(A48="","",IF(OR(E48="No",F48="No",G48="No"),"Needs Attention",IF(AND(H48="Yes",K48=""),"Discrepancy Open",IF(OR(E48="",F48="",G48="",H48=""),"In Progress","Complete"))))</f>
        <v/>
      </c>
    </row>
    <row r="49" customFormat="false" ht="15" hidden="false" customHeight="false" outlineLevel="0" collapsed="false">
      <c r="A49" s="20"/>
      <c r="B49" s="20"/>
      <c r="C49" s="21"/>
      <c r="D49" s="20"/>
      <c r="E49" s="22"/>
      <c r="F49" s="22"/>
      <c r="G49" s="22"/>
      <c r="H49" s="22"/>
      <c r="I49" s="20"/>
      <c r="J49" s="20"/>
      <c r="K49" s="21"/>
      <c r="L49" s="22" t="str">
        <f aca="false">IF(A49="","",IF(OR(E49="No",F49="No",G49="No"),"Needs Attention",IF(AND(H49="Yes",K49=""),"Discrepancy Open",IF(OR(E49="",F49="",G49="",H49=""),"In Progress","Complete"))))</f>
        <v/>
      </c>
    </row>
    <row r="50" customFormat="false" ht="15" hidden="false" customHeight="false" outlineLevel="0" collapsed="false">
      <c r="A50" s="23"/>
      <c r="B50" s="23"/>
      <c r="C50" s="24"/>
      <c r="D50" s="23"/>
      <c r="E50" s="25"/>
      <c r="F50" s="25"/>
      <c r="G50" s="25"/>
      <c r="H50" s="25"/>
      <c r="I50" s="23"/>
      <c r="J50" s="23"/>
      <c r="K50" s="24"/>
      <c r="L50" s="25" t="str">
        <f aca="false">IF(A50="","",IF(OR(E50="No",F50="No",G50="No"),"Needs Attention",IF(AND(H50="Yes",K50=""),"Discrepancy Open",IF(OR(E50="",F50="",G50="",H50=""),"In Progress","Complete"))))</f>
        <v/>
      </c>
    </row>
    <row r="51" customFormat="false" ht="15" hidden="false" customHeight="false" outlineLevel="0" collapsed="false">
      <c r="A51" s="20"/>
      <c r="B51" s="20"/>
      <c r="C51" s="21"/>
      <c r="D51" s="20"/>
      <c r="E51" s="22"/>
      <c r="F51" s="22"/>
      <c r="G51" s="22"/>
      <c r="H51" s="22"/>
      <c r="I51" s="20"/>
      <c r="J51" s="20"/>
      <c r="K51" s="21"/>
      <c r="L51" s="22" t="str">
        <f aca="false">IF(A51="","",IF(OR(E51="No",F51="No",G51="No"),"Needs Attention",IF(AND(H51="Yes",K51=""),"Discrepancy Open",IF(OR(E51="",F51="",G51="",H51=""),"In Progress","Complete"))))</f>
        <v/>
      </c>
    </row>
    <row r="52" customFormat="false" ht="15" hidden="false" customHeight="false" outlineLevel="0" collapsed="false">
      <c r="A52" s="23"/>
      <c r="B52" s="23"/>
      <c r="C52" s="24"/>
      <c r="D52" s="23"/>
      <c r="E52" s="25"/>
      <c r="F52" s="25"/>
      <c r="G52" s="25"/>
      <c r="H52" s="25"/>
      <c r="I52" s="23"/>
      <c r="J52" s="23"/>
      <c r="K52" s="24"/>
      <c r="L52" s="25" t="str">
        <f aca="false">IF(A52="","",IF(OR(E52="No",F52="No",G52="No"),"Needs Attention",IF(AND(H52="Yes",K52=""),"Discrepancy Open",IF(OR(E52="",F52="",G52="",H52=""),"In Progress","Complete"))))</f>
        <v/>
      </c>
    </row>
    <row r="53" customFormat="false" ht="15" hidden="false" customHeight="false" outlineLevel="0" collapsed="false">
      <c r="A53" s="20"/>
      <c r="B53" s="20"/>
      <c r="C53" s="21"/>
      <c r="D53" s="20"/>
      <c r="E53" s="22"/>
      <c r="F53" s="22"/>
      <c r="G53" s="22"/>
      <c r="H53" s="22"/>
      <c r="I53" s="20"/>
      <c r="J53" s="20"/>
      <c r="K53" s="21"/>
      <c r="L53" s="22" t="str">
        <f aca="false">IF(A53="","",IF(OR(E53="No",F53="No",G53="No"),"Needs Attention",IF(AND(H53="Yes",K53=""),"Discrepancy Open",IF(OR(E53="",F53="",G53="",H53=""),"In Progress","Complete"))))</f>
        <v/>
      </c>
    </row>
    <row r="54" customFormat="false" ht="15" hidden="false" customHeight="false" outlineLevel="0" collapsed="false">
      <c r="A54" s="23"/>
      <c r="B54" s="23"/>
      <c r="C54" s="24"/>
      <c r="D54" s="23"/>
      <c r="E54" s="25"/>
      <c r="F54" s="25"/>
      <c r="G54" s="25"/>
      <c r="H54" s="25"/>
      <c r="I54" s="23"/>
      <c r="J54" s="23"/>
      <c r="K54" s="24"/>
      <c r="L54" s="25" t="str">
        <f aca="false">IF(A54="","",IF(OR(E54="No",F54="No",G54="No"),"Needs Attention",IF(AND(H54="Yes",K54=""),"Discrepancy Open",IF(OR(E54="",F54="",G54="",H54=""),"In Progress","Complete"))))</f>
        <v/>
      </c>
    </row>
    <row r="55" customFormat="false" ht="15" hidden="false" customHeight="false" outlineLevel="0" collapsed="false">
      <c r="A55" s="20"/>
      <c r="B55" s="20"/>
      <c r="C55" s="21"/>
      <c r="D55" s="20"/>
      <c r="E55" s="22"/>
      <c r="F55" s="22"/>
      <c r="G55" s="22"/>
      <c r="H55" s="22"/>
      <c r="I55" s="20"/>
      <c r="J55" s="20"/>
      <c r="K55" s="21"/>
      <c r="L55" s="22" t="str">
        <f aca="false">IF(A55="","",IF(OR(E55="No",F55="No",G55="No"),"Needs Attention",IF(AND(H55="Yes",K55=""),"Discrepancy Open",IF(OR(E55="",F55="",G55="",H55=""),"In Progress","Complete"))))</f>
        <v/>
      </c>
    </row>
    <row r="56" customFormat="false" ht="15" hidden="false" customHeight="false" outlineLevel="0" collapsed="false">
      <c r="A56" s="23"/>
      <c r="B56" s="23"/>
      <c r="C56" s="24"/>
      <c r="D56" s="23"/>
      <c r="E56" s="25"/>
      <c r="F56" s="25"/>
      <c r="G56" s="25"/>
      <c r="H56" s="25"/>
      <c r="I56" s="23"/>
      <c r="J56" s="23"/>
      <c r="K56" s="24"/>
      <c r="L56" s="25" t="str">
        <f aca="false">IF(A56="","",IF(OR(E56="No",F56="No",G56="No"),"Needs Attention",IF(AND(H56="Yes",K56=""),"Discrepancy Open",IF(OR(E56="",F56="",G56="",H56=""),"In Progress","Complete"))))</f>
        <v/>
      </c>
    </row>
    <row r="57" customFormat="false" ht="15" hidden="false" customHeight="false" outlineLevel="0" collapsed="false">
      <c r="A57" s="20"/>
      <c r="B57" s="20"/>
      <c r="C57" s="21"/>
      <c r="D57" s="20"/>
      <c r="E57" s="22"/>
      <c r="F57" s="22"/>
      <c r="G57" s="22"/>
      <c r="H57" s="22"/>
      <c r="I57" s="20"/>
      <c r="J57" s="20"/>
      <c r="K57" s="21"/>
      <c r="L57" s="22" t="str">
        <f aca="false">IF(A57="","",IF(OR(E57="No",F57="No",G57="No"),"Needs Attention",IF(AND(H57="Yes",K57=""),"Discrepancy Open",IF(OR(E57="",F57="",G57="",H57=""),"In Progress","Complete"))))</f>
        <v/>
      </c>
    </row>
    <row r="58" customFormat="false" ht="15" hidden="false" customHeight="false" outlineLevel="0" collapsed="false">
      <c r="A58" s="23"/>
      <c r="B58" s="23"/>
      <c r="C58" s="24"/>
      <c r="D58" s="23"/>
      <c r="E58" s="25"/>
      <c r="F58" s="25"/>
      <c r="G58" s="25"/>
      <c r="H58" s="25"/>
      <c r="I58" s="23"/>
      <c r="J58" s="23"/>
      <c r="K58" s="24"/>
      <c r="L58" s="25" t="str">
        <f aca="false">IF(A58="","",IF(OR(E58="No",F58="No",G58="No"),"Needs Attention",IF(AND(H58="Yes",K58=""),"Discrepancy Open",IF(OR(E58="",F58="",G58="",H58=""),"In Progress","Complete"))))</f>
        <v/>
      </c>
    </row>
    <row r="59" customFormat="false" ht="15" hidden="false" customHeight="false" outlineLevel="0" collapsed="false">
      <c r="A59" s="20"/>
      <c r="B59" s="20"/>
      <c r="C59" s="21"/>
      <c r="D59" s="20"/>
      <c r="E59" s="22"/>
      <c r="F59" s="22"/>
      <c r="G59" s="22"/>
      <c r="H59" s="22"/>
      <c r="I59" s="20"/>
      <c r="J59" s="20"/>
      <c r="K59" s="21"/>
      <c r="L59" s="22" t="str">
        <f aca="false">IF(A59="","",IF(OR(E59="No",F59="No",G59="No"),"Needs Attention",IF(AND(H59="Yes",K59=""),"Discrepancy Open",IF(OR(E59="",F59="",G59="",H59=""),"In Progress","Complete"))))</f>
        <v/>
      </c>
    </row>
    <row r="60" customFormat="false" ht="15" hidden="false" customHeight="false" outlineLevel="0" collapsed="false">
      <c r="A60" s="23"/>
      <c r="B60" s="23"/>
      <c r="C60" s="24"/>
      <c r="D60" s="23"/>
      <c r="E60" s="25"/>
      <c r="F60" s="25"/>
      <c r="G60" s="25"/>
      <c r="H60" s="25"/>
      <c r="I60" s="23"/>
      <c r="J60" s="23"/>
      <c r="K60" s="24"/>
      <c r="L60" s="25" t="str">
        <f aca="false">IF(A60="","",IF(OR(E60="No",F60="No",G60="No"),"Needs Attention",IF(AND(H60="Yes",K60=""),"Discrepancy Open",IF(OR(E60="",F60="",G60="",H60=""),"In Progress","Complete"))))</f>
        <v/>
      </c>
    </row>
    <row r="61" customFormat="false" ht="15" hidden="false" customHeight="false" outlineLevel="0" collapsed="false">
      <c r="A61" s="20"/>
      <c r="B61" s="20"/>
      <c r="C61" s="21"/>
      <c r="D61" s="20"/>
      <c r="E61" s="22"/>
      <c r="F61" s="22"/>
      <c r="G61" s="22"/>
      <c r="H61" s="22"/>
      <c r="I61" s="20"/>
      <c r="J61" s="20"/>
      <c r="K61" s="21"/>
      <c r="L61" s="22" t="str">
        <f aca="false">IF(A61="","",IF(OR(E61="No",F61="No",G61="No"),"Needs Attention",IF(AND(H61="Yes",K61=""),"Discrepancy Open",IF(OR(E61="",F61="",G61="",H61=""),"In Progress","Complete"))))</f>
        <v/>
      </c>
    </row>
    <row r="62" customFormat="false" ht="15" hidden="false" customHeight="false" outlineLevel="0" collapsed="false">
      <c r="A62" s="23"/>
      <c r="B62" s="23"/>
      <c r="C62" s="24"/>
      <c r="D62" s="23"/>
      <c r="E62" s="25"/>
      <c r="F62" s="25"/>
      <c r="G62" s="25"/>
      <c r="H62" s="25"/>
      <c r="I62" s="23"/>
      <c r="J62" s="23"/>
      <c r="K62" s="24"/>
      <c r="L62" s="25" t="str">
        <f aca="false">IF(A62="","",IF(OR(E62="No",F62="No",G62="No"),"Needs Attention",IF(AND(H62="Yes",K62=""),"Discrepancy Open",IF(OR(E62="",F62="",G62="",H62=""),"In Progress","Complete"))))</f>
        <v/>
      </c>
    </row>
    <row r="63" customFormat="false" ht="15" hidden="false" customHeight="false" outlineLevel="0" collapsed="false">
      <c r="A63" s="20"/>
      <c r="B63" s="20"/>
      <c r="C63" s="21"/>
      <c r="D63" s="20"/>
      <c r="E63" s="22"/>
      <c r="F63" s="22"/>
      <c r="G63" s="22"/>
      <c r="H63" s="22"/>
      <c r="I63" s="20"/>
      <c r="J63" s="20"/>
      <c r="K63" s="21"/>
      <c r="L63" s="22" t="str">
        <f aca="false">IF(A63="","",IF(OR(E63="No",F63="No",G63="No"),"Needs Attention",IF(AND(H63="Yes",K63=""),"Discrepancy Open",IF(OR(E63="",F63="",G63="",H63=""),"In Progress","Complete"))))</f>
        <v/>
      </c>
    </row>
    <row r="64" customFormat="false" ht="15" hidden="false" customHeight="false" outlineLevel="0" collapsed="false">
      <c r="A64" s="23"/>
      <c r="B64" s="23"/>
      <c r="C64" s="24"/>
      <c r="D64" s="23"/>
      <c r="E64" s="25"/>
      <c r="F64" s="25"/>
      <c r="G64" s="25"/>
      <c r="H64" s="25"/>
      <c r="I64" s="23"/>
      <c r="J64" s="23"/>
      <c r="K64" s="24"/>
      <c r="L64" s="25" t="str">
        <f aca="false">IF(A64="","",IF(OR(E64="No",F64="No",G64="No"),"Needs Attention",IF(AND(H64="Yes",K64=""),"Discrepancy Open",IF(OR(E64="",F64="",G64="",H64=""),"In Progress","Complete"))))</f>
        <v/>
      </c>
    </row>
    <row r="65" customFormat="false" ht="15" hidden="false" customHeight="false" outlineLevel="0" collapsed="false">
      <c r="A65" s="20"/>
      <c r="B65" s="20"/>
      <c r="C65" s="21"/>
      <c r="D65" s="20"/>
      <c r="E65" s="22"/>
      <c r="F65" s="22"/>
      <c r="G65" s="22"/>
      <c r="H65" s="22"/>
      <c r="I65" s="20"/>
      <c r="J65" s="20"/>
      <c r="K65" s="21"/>
      <c r="L65" s="22" t="str">
        <f aca="false">IF(A65="","",IF(OR(E65="No",F65="No",G65="No"),"Needs Attention",IF(AND(H65="Yes",K65=""),"Discrepancy Open",IF(OR(E65="",F65="",G65="",H65=""),"In Progress","Complete"))))</f>
        <v/>
      </c>
    </row>
    <row r="66" customFormat="false" ht="15" hidden="false" customHeight="false" outlineLevel="0" collapsed="false">
      <c r="A66" s="23"/>
      <c r="B66" s="23"/>
      <c r="C66" s="24"/>
      <c r="D66" s="23"/>
      <c r="E66" s="25"/>
      <c r="F66" s="25"/>
      <c r="G66" s="25"/>
      <c r="H66" s="25"/>
      <c r="I66" s="23"/>
      <c r="J66" s="23"/>
      <c r="K66" s="24"/>
      <c r="L66" s="25" t="str">
        <f aca="false">IF(A66="","",IF(OR(E66="No",F66="No",G66="No"),"Needs Attention",IF(AND(H66="Yes",K66=""),"Discrepancy Open",IF(OR(E66="",F66="",G66="",H66=""),"In Progress","Complete"))))</f>
        <v/>
      </c>
    </row>
    <row r="67" customFormat="false" ht="15" hidden="false" customHeight="false" outlineLevel="0" collapsed="false">
      <c r="A67" s="20"/>
      <c r="B67" s="20"/>
      <c r="C67" s="21"/>
      <c r="D67" s="20"/>
      <c r="E67" s="22"/>
      <c r="F67" s="22"/>
      <c r="G67" s="22"/>
      <c r="H67" s="22"/>
      <c r="I67" s="20"/>
      <c r="J67" s="20"/>
      <c r="K67" s="21"/>
      <c r="L67" s="22" t="str">
        <f aca="false">IF(A67="","",IF(OR(E67="No",F67="No",G67="No"),"Needs Attention",IF(AND(H67="Yes",K67=""),"Discrepancy Open",IF(OR(E67="",F67="",G67="",H67=""),"In Progress","Complete"))))</f>
        <v/>
      </c>
    </row>
    <row r="68" customFormat="false" ht="15" hidden="false" customHeight="false" outlineLevel="0" collapsed="false">
      <c r="A68" s="23"/>
      <c r="B68" s="23"/>
      <c r="C68" s="24"/>
      <c r="D68" s="23"/>
      <c r="E68" s="25"/>
      <c r="F68" s="25"/>
      <c r="G68" s="25"/>
      <c r="H68" s="25"/>
      <c r="I68" s="23"/>
      <c r="J68" s="23"/>
      <c r="K68" s="24"/>
      <c r="L68" s="25" t="str">
        <f aca="false">IF(A68="","",IF(OR(E68="No",F68="No",G68="No"),"Needs Attention",IF(AND(H68="Yes",K68=""),"Discrepancy Open",IF(OR(E68="",F68="",G68="",H68=""),"In Progress","Complete"))))</f>
        <v/>
      </c>
    </row>
    <row r="69" customFormat="false" ht="15" hidden="false" customHeight="false" outlineLevel="0" collapsed="false">
      <c r="A69" s="20"/>
      <c r="B69" s="20"/>
      <c r="C69" s="21"/>
      <c r="D69" s="20"/>
      <c r="E69" s="22"/>
      <c r="F69" s="22"/>
      <c r="G69" s="22"/>
      <c r="H69" s="22"/>
      <c r="I69" s="20"/>
      <c r="J69" s="20"/>
      <c r="K69" s="21"/>
      <c r="L69" s="22" t="str">
        <f aca="false">IF(A69="","",IF(OR(E69="No",F69="No",G69="No"),"Needs Attention",IF(AND(H69="Yes",K69=""),"Discrepancy Open",IF(OR(E69="",F69="",G69="",H69=""),"In Progress","Complete"))))</f>
        <v/>
      </c>
    </row>
    <row r="70" customFormat="false" ht="15" hidden="false" customHeight="false" outlineLevel="0" collapsed="false">
      <c r="A70" s="23"/>
      <c r="B70" s="23"/>
      <c r="C70" s="24"/>
      <c r="D70" s="23"/>
      <c r="E70" s="25"/>
      <c r="F70" s="25"/>
      <c r="G70" s="25"/>
      <c r="H70" s="25"/>
      <c r="I70" s="23"/>
      <c r="J70" s="23"/>
      <c r="K70" s="24"/>
      <c r="L70" s="25" t="str">
        <f aca="false">IF(A70="","",IF(OR(E70="No",F70="No",G70="No"),"Needs Attention",IF(AND(H70="Yes",K70=""),"Discrepancy Open",IF(OR(E70="",F70="",G70="",H70=""),"In Progress","Complete"))))</f>
        <v/>
      </c>
    </row>
    <row r="71" customFormat="false" ht="15" hidden="false" customHeight="false" outlineLevel="0" collapsed="false">
      <c r="A71" s="20"/>
      <c r="B71" s="20"/>
      <c r="C71" s="21"/>
      <c r="D71" s="20"/>
      <c r="E71" s="22"/>
      <c r="F71" s="22"/>
      <c r="G71" s="22"/>
      <c r="H71" s="22"/>
      <c r="I71" s="20"/>
      <c r="J71" s="20"/>
      <c r="K71" s="21"/>
      <c r="L71" s="22" t="str">
        <f aca="false">IF(A71="","",IF(OR(E71="No",F71="No",G71="No"),"Needs Attention",IF(AND(H71="Yes",K71=""),"Discrepancy Open",IF(OR(E71="",F71="",G71="",H71=""),"In Progress","Complete"))))</f>
        <v/>
      </c>
    </row>
    <row r="72" customFormat="false" ht="15" hidden="false" customHeight="false" outlineLevel="0" collapsed="false">
      <c r="A72" s="23"/>
      <c r="B72" s="23"/>
      <c r="C72" s="24"/>
      <c r="D72" s="23"/>
      <c r="E72" s="25"/>
      <c r="F72" s="25"/>
      <c r="G72" s="25"/>
      <c r="H72" s="25"/>
      <c r="I72" s="23"/>
      <c r="J72" s="23"/>
      <c r="K72" s="24"/>
      <c r="L72" s="25" t="str">
        <f aca="false">IF(A72="","",IF(OR(E72="No",F72="No",G72="No"),"Needs Attention",IF(AND(H72="Yes",K72=""),"Discrepancy Open",IF(OR(E72="",F72="",G72="",H72=""),"In Progress","Complete"))))</f>
        <v/>
      </c>
    </row>
    <row r="73" customFormat="false" ht="15" hidden="false" customHeight="false" outlineLevel="0" collapsed="false">
      <c r="A73" s="20"/>
      <c r="B73" s="20"/>
      <c r="C73" s="21"/>
      <c r="D73" s="20"/>
      <c r="E73" s="22"/>
      <c r="F73" s="22"/>
      <c r="G73" s="22"/>
      <c r="H73" s="22"/>
      <c r="I73" s="20"/>
      <c r="J73" s="20"/>
      <c r="K73" s="21"/>
      <c r="L73" s="22" t="str">
        <f aca="false">IF(A73="","",IF(OR(E73="No",F73="No",G73="No"),"Needs Attention",IF(AND(H73="Yes",K73=""),"Discrepancy Open",IF(OR(E73="",F73="",G73="",H73=""),"In Progress","Complete"))))</f>
        <v/>
      </c>
    </row>
    <row r="74" customFormat="false" ht="15" hidden="false" customHeight="false" outlineLevel="0" collapsed="false">
      <c r="A74" s="23"/>
      <c r="B74" s="23"/>
      <c r="C74" s="24"/>
      <c r="D74" s="23"/>
      <c r="E74" s="25"/>
      <c r="F74" s="25"/>
      <c r="G74" s="25"/>
      <c r="H74" s="25"/>
      <c r="I74" s="23"/>
      <c r="J74" s="23"/>
      <c r="K74" s="24"/>
      <c r="L74" s="25" t="str">
        <f aca="false">IF(A74="","",IF(OR(E74="No",F74="No",G74="No"),"Needs Attention",IF(AND(H74="Yes",K74=""),"Discrepancy Open",IF(OR(E74="",F74="",G74="",H74=""),"In Progress","Complete"))))</f>
        <v/>
      </c>
    </row>
    <row r="75" customFormat="false" ht="15" hidden="false" customHeight="false" outlineLevel="0" collapsed="false">
      <c r="A75" s="20"/>
      <c r="B75" s="20"/>
      <c r="C75" s="21"/>
      <c r="D75" s="20"/>
      <c r="E75" s="22"/>
      <c r="F75" s="22"/>
      <c r="G75" s="22"/>
      <c r="H75" s="22"/>
      <c r="I75" s="20"/>
      <c r="J75" s="20"/>
      <c r="K75" s="21"/>
      <c r="L75" s="22" t="str">
        <f aca="false">IF(A75="","",IF(OR(E75="No",F75="No",G75="No"),"Needs Attention",IF(AND(H75="Yes",K75=""),"Discrepancy Open",IF(OR(E75="",F75="",G75="",H75=""),"In Progress","Complete"))))</f>
        <v/>
      </c>
    </row>
    <row r="76" customFormat="false" ht="15" hidden="false" customHeight="false" outlineLevel="0" collapsed="false">
      <c r="A76" s="23"/>
      <c r="B76" s="23"/>
      <c r="C76" s="24"/>
      <c r="D76" s="23"/>
      <c r="E76" s="25"/>
      <c r="F76" s="25"/>
      <c r="G76" s="25"/>
      <c r="H76" s="25"/>
      <c r="I76" s="23"/>
      <c r="J76" s="23"/>
      <c r="K76" s="24"/>
      <c r="L76" s="25" t="str">
        <f aca="false">IF(A76="","",IF(OR(E76="No",F76="No",G76="No"),"Needs Attention",IF(AND(H76="Yes",K76=""),"Discrepancy Open",IF(OR(E76="",F76="",G76="",H76=""),"In Progress","Complete"))))</f>
        <v/>
      </c>
    </row>
    <row r="77" customFormat="false" ht="15" hidden="false" customHeight="false" outlineLevel="0" collapsed="false">
      <c r="A77" s="20"/>
      <c r="B77" s="20"/>
      <c r="C77" s="21"/>
      <c r="D77" s="20"/>
      <c r="E77" s="22"/>
      <c r="F77" s="22"/>
      <c r="G77" s="22"/>
      <c r="H77" s="22"/>
      <c r="I77" s="20"/>
      <c r="J77" s="20"/>
      <c r="K77" s="21"/>
      <c r="L77" s="22" t="str">
        <f aca="false">IF(A77="","",IF(OR(E77="No",F77="No",G77="No"),"Needs Attention",IF(AND(H77="Yes",K77=""),"Discrepancy Open",IF(OR(E77="",F77="",G77="",H77=""),"In Progress","Complete"))))</f>
        <v/>
      </c>
    </row>
    <row r="78" customFormat="false" ht="15" hidden="false" customHeight="false" outlineLevel="0" collapsed="false">
      <c r="A78" s="23"/>
      <c r="B78" s="23"/>
      <c r="C78" s="24"/>
      <c r="D78" s="23"/>
      <c r="E78" s="25"/>
      <c r="F78" s="25"/>
      <c r="G78" s="25"/>
      <c r="H78" s="25"/>
      <c r="I78" s="23"/>
      <c r="J78" s="23"/>
      <c r="K78" s="24"/>
      <c r="L78" s="25" t="str">
        <f aca="false">IF(A78="","",IF(OR(E78="No",F78="No",G78="No"),"Needs Attention",IF(AND(H78="Yes",K78=""),"Discrepancy Open",IF(OR(E78="",F78="",G78="",H78=""),"In Progress","Complete"))))</f>
        <v/>
      </c>
    </row>
    <row r="79" customFormat="false" ht="15" hidden="false" customHeight="false" outlineLevel="0" collapsed="false">
      <c r="A79" s="20"/>
      <c r="B79" s="20"/>
      <c r="C79" s="21"/>
      <c r="D79" s="20"/>
      <c r="E79" s="22"/>
      <c r="F79" s="22"/>
      <c r="G79" s="22"/>
      <c r="H79" s="22"/>
      <c r="I79" s="20"/>
      <c r="J79" s="20"/>
      <c r="K79" s="21"/>
      <c r="L79" s="22" t="str">
        <f aca="false">IF(A79="","",IF(OR(E79="No",F79="No",G79="No"),"Needs Attention",IF(AND(H79="Yes",K79=""),"Discrepancy Open",IF(OR(E79="",F79="",G79="",H79=""),"In Progress","Complete"))))</f>
        <v/>
      </c>
    </row>
    <row r="80" customFormat="false" ht="15" hidden="false" customHeight="false" outlineLevel="0" collapsed="false">
      <c r="A80" s="23"/>
      <c r="B80" s="23"/>
      <c r="C80" s="24"/>
      <c r="D80" s="23"/>
      <c r="E80" s="25"/>
      <c r="F80" s="25"/>
      <c r="G80" s="25"/>
      <c r="H80" s="25"/>
      <c r="I80" s="23"/>
      <c r="J80" s="23"/>
      <c r="K80" s="24"/>
      <c r="L80" s="25" t="str">
        <f aca="false">IF(A80="","",IF(OR(E80="No",F80="No",G80="No"),"Needs Attention",IF(AND(H80="Yes",K80=""),"Discrepancy Open",IF(OR(E80="",F80="",G80="",H80=""),"In Progress","Complete"))))</f>
        <v/>
      </c>
    </row>
    <row r="81" customFormat="false" ht="15" hidden="false" customHeight="false" outlineLevel="0" collapsed="false">
      <c r="A81" s="20"/>
      <c r="B81" s="20"/>
      <c r="C81" s="21"/>
      <c r="D81" s="20"/>
      <c r="E81" s="22"/>
      <c r="F81" s="22"/>
      <c r="G81" s="22"/>
      <c r="H81" s="22"/>
      <c r="I81" s="20"/>
      <c r="J81" s="20"/>
      <c r="K81" s="21"/>
      <c r="L81" s="22" t="str">
        <f aca="false">IF(A81="","",IF(OR(E81="No",F81="No",G81="No"),"Needs Attention",IF(AND(H81="Yes",K81=""),"Discrepancy Open",IF(OR(E81="",F81="",G81="",H81=""),"In Progress","Complete"))))</f>
        <v/>
      </c>
    </row>
    <row r="82" customFormat="false" ht="15" hidden="false" customHeight="false" outlineLevel="0" collapsed="false">
      <c r="A82" s="23"/>
      <c r="B82" s="23"/>
      <c r="C82" s="24"/>
      <c r="D82" s="23"/>
      <c r="E82" s="25"/>
      <c r="F82" s="25"/>
      <c r="G82" s="25"/>
      <c r="H82" s="25"/>
      <c r="I82" s="23"/>
      <c r="J82" s="23"/>
      <c r="K82" s="24"/>
      <c r="L82" s="25" t="str">
        <f aca="false">IF(A82="","",IF(OR(E82="No",F82="No",G82="No"),"Needs Attention",IF(AND(H82="Yes",K82=""),"Discrepancy Open",IF(OR(E82="",F82="",G82="",H82=""),"In Progress","Complete"))))</f>
        <v/>
      </c>
    </row>
    <row r="83" customFormat="false" ht="15" hidden="false" customHeight="false" outlineLevel="0" collapsed="false">
      <c r="A83" s="20"/>
      <c r="B83" s="20"/>
      <c r="C83" s="21"/>
      <c r="D83" s="20"/>
      <c r="E83" s="22"/>
      <c r="F83" s="22"/>
      <c r="G83" s="22"/>
      <c r="H83" s="22"/>
      <c r="I83" s="20"/>
      <c r="J83" s="20"/>
      <c r="K83" s="21"/>
      <c r="L83" s="22" t="str">
        <f aca="false">IF(A83="","",IF(OR(E83="No",F83="No",G83="No"),"Needs Attention",IF(AND(H83="Yes",K83=""),"Discrepancy Open",IF(OR(E83="",F83="",G83="",H83=""),"In Progress","Complete"))))</f>
        <v/>
      </c>
    </row>
    <row r="84" customFormat="false" ht="15" hidden="false" customHeight="false" outlineLevel="0" collapsed="false">
      <c r="A84" s="23"/>
      <c r="B84" s="23"/>
      <c r="C84" s="24"/>
      <c r="D84" s="23"/>
      <c r="E84" s="25"/>
      <c r="F84" s="25"/>
      <c r="G84" s="25"/>
      <c r="H84" s="25"/>
      <c r="I84" s="23"/>
      <c r="J84" s="23"/>
      <c r="K84" s="24"/>
      <c r="L84" s="25" t="str">
        <f aca="false">IF(A84="","",IF(OR(E84="No",F84="No",G84="No"),"Needs Attention",IF(AND(H84="Yes",K84=""),"Discrepancy Open",IF(OR(E84="",F84="",G84="",H84=""),"In Progress","Complete"))))</f>
        <v/>
      </c>
    </row>
    <row r="85" customFormat="false" ht="15" hidden="false" customHeight="false" outlineLevel="0" collapsed="false">
      <c r="A85" s="20"/>
      <c r="B85" s="20"/>
      <c r="C85" s="21"/>
      <c r="D85" s="20"/>
      <c r="E85" s="22"/>
      <c r="F85" s="22"/>
      <c r="G85" s="22"/>
      <c r="H85" s="22"/>
      <c r="I85" s="20"/>
      <c r="J85" s="20"/>
      <c r="K85" s="21"/>
      <c r="L85" s="22" t="str">
        <f aca="false">IF(A85="","",IF(OR(E85="No",F85="No",G85="No"),"Needs Attention",IF(AND(H85="Yes",K85=""),"Discrepancy Open",IF(OR(E85="",F85="",G85="",H85=""),"In Progress","Complete"))))</f>
        <v/>
      </c>
    </row>
    <row r="86" customFormat="false" ht="15" hidden="false" customHeight="false" outlineLevel="0" collapsed="false">
      <c r="A86" s="23"/>
      <c r="B86" s="23"/>
      <c r="C86" s="24"/>
      <c r="D86" s="23"/>
      <c r="E86" s="25"/>
      <c r="F86" s="25"/>
      <c r="G86" s="25"/>
      <c r="H86" s="25"/>
      <c r="I86" s="23"/>
      <c r="J86" s="23"/>
      <c r="K86" s="24"/>
      <c r="L86" s="25" t="str">
        <f aca="false">IF(A86="","",IF(OR(E86="No",F86="No",G86="No"),"Needs Attention",IF(AND(H86="Yes",K86=""),"Discrepancy Open",IF(OR(E86="",F86="",G86="",H86=""),"In Progress","Complete"))))</f>
        <v/>
      </c>
    </row>
    <row r="87" customFormat="false" ht="15" hidden="false" customHeight="false" outlineLevel="0" collapsed="false">
      <c r="A87" s="20"/>
      <c r="B87" s="20"/>
      <c r="C87" s="21"/>
      <c r="D87" s="20"/>
      <c r="E87" s="22"/>
      <c r="F87" s="22"/>
      <c r="G87" s="22"/>
      <c r="H87" s="22"/>
      <c r="I87" s="20"/>
      <c r="J87" s="20"/>
      <c r="K87" s="21"/>
      <c r="L87" s="22" t="str">
        <f aca="false">IF(A87="","",IF(OR(E87="No",F87="No",G87="No"),"Needs Attention",IF(AND(H87="Yes",K87=""),"Discrepancy Open",IF(OR(E87="",F87="",G87="",H87=""),"In Progress","Complete"))))</f>
        <v/>
      </c>
    </row>
    <row r="88" customFormat="false" ht="15" hidden="false" customHeight="false" outlineLevel="0" collapsed="false">
      <c r="A88" s="23"/>
      <c r="B88" s="23"/>
      <c r="C88" s="24"/>
      <c r="D88" s="23"/>
      <c r="E88" s="25"/>
      <c r="F88" s="25"/>
      <c r="G88" s="25"/>
      <c r="H88" s="25"/>
      <c r="I88" s="23"/>
      <c r="J88" s="23"/>
      <c r="K88" s="24"/>
      <c r="L88" s="25" t="str">
        <f aca="false">IF(A88="","",IF(OR(E88="No",F88="No",G88="No"),"Needs Attention",IF(AND(H88="Yes",K88=""),"Discrepancy Open",IF(OR(E88="",F88="",G88="",H88=""),"In Progress","Complete"))))</f>
        <v/>
      </c>
    </row>
    <row r="89" customFormat="false" ht="15" hidden="false" customHeight="false" outlineLevel="0" collapsed="false">
      <c r="A89" s="20"/>
      <c r="B89" s="20"/>
      <c r="C89" s="21"/>
      <c r="D89" s="20"/>
      <c r="E89" s="22"/>
      <c r="F89" s="22"/>
      <c r="G89" s="22"/>
      <c r="H89" s="22"/>
      <c r="I89" s="20"/>
      <c r="J89" s="20"/>
      <c r="K89" s="21"/>
      <c r="L89" s="22" t="str">
        <f aca="false">IF(A89="","",IF(OR(E89="No",F89="No",G89="No"),"Needs Attention",IF(AND(H89="Yes",K89=""),"Discrepancy Open",IF(OR(E89="",F89="",G89="",H89=""),"In Progress","Complete"))))</f>
        <v/>
      </c>
    </row>
    <row r="90" customFormat="false" ht="15" hidden="false" customHeight="false" outlineLevel="0" collapsed="false">
      <c r="A90" s="23"/>
      <c r="B90" s="23"/>
      <c r="C90" s="24"/>
      <c r="D90" s="23"/>
      <c r="E90" s="25"/>
      <c r="F90" s="25"/>
      <c r="G90" s="25"/>
      <c r="H90" s="25"/>
      <c r="I90" s="23"/>
      <c r="J90" s="23"/>
      <c r="K90" s="24"/>
      <c r="L90" s="25" t="str">
        <f aca="false">IF(A90="","",IF(OR(E90="No",F90="No",G90="No"),"Needs Attention",IF(AND(H90="Yes",K90=""),"Discrepancy Open",IF(OR(E90="",F90="",G90="",H90=""),"In Progress","Complete"))))</f>
        <v/>
      </c>
    </row>
    <row r="91" customFormat="false" ht="15" hidden="false" customHeight="false" outlineLevel="0" collapsed="false">
      <c r="A91" s="20"/>
      <c r="B91" s="20"/>
      <c r="C91" s="21"/>
      <c r="D91" s="20"/>
      <c r="E91" s="22"/>
      <c r="F91" s="22"/>
      <c r="G91" s="22"/>
      <c r="H91" s="22"/>
      <c r="I91" s="20"/>
      <c r="J91" s="20"/>
      <c r="K91" s="21"/>
      <c r="L91" s="22" t="str">
        <f aca="false">IF(A91="","",IF(OR(E91="No",F91="No",G91="No"),"Needs Attention",IF(AND(H91="Yes",K91=""),"Discrepancy Open",IF(OR(E91="",F91="",G91="",H91=""),"In Progress","Complete"))))</f>
        <v/>
      </c>
    </row>
    <row r="92" customFormat="false" ht="15" hidden="false" customHeight="false" outlineLevel="0" collapsed="false">
      <c r="A92" s="23"/>
      <c r="B92" s="23"/>
      <c r="C92" s="24"/>
      <c r="D92" s="23"/>
      <c r="E92" s="25"/>
      <c r="F92" s="25"/>
      <c r="G92" s="25"/>
      <c r="H92" s="25"/>
      <c r="I92" s="23"/>
      <c r="J92" s="23"/>
      <c r="K92" s="24"/>
      <c r="L92" s="25" t="str">
        <f aca="false">IF(A92="","",IF(OR(E92="No",F92="No",G92="No"),"Needs Attention",IF(AND(H92="Yes",K92=""),"Discrepancy Open",IF(OR(E92="",F92="",G92="",H92=""),"In Progress","Complete"))))</f>
        <v/>
      </c>
    </row>
    <row r="93" customFormat="false" ht="15" hidden="false" customHeight="false" outlineLevel="0" collapsed="false">
      <c r="A93" s="20"/>
      <c r="B93" s="20"/>
      <c r="C93" s="21"/>
      <c r="D93" s="20"/>
      <c r="E93" s="22"/>
      <c r="F93" s="22"/>
      <c r="G93" s="22"/>
      <c r="H93" s="22"/>
      <c r="I93" s="20"/>
      <c r="J93" s="20"/>
      <c r="K93" s="21"/>
      <c r="L93" s="22" t="str">
        <f aca="false">IF(A93="","",IF(OR(E93="No",F93="No",G93="No"),"Needs Attention",IF(AND(H93="Yes",K93=""),"Discrepancy Open",IF(OR(E93="",F93="",G93="",H93=""),"In Progress","Complete"))))</f>
        <v/>
      </c>
    </row>
    <row r="94" customFormat="false" ht="15" hidden="false" customHeight="false" outlineLevel="0" collapsed="false">
      <c r="A94" s="23"/>
      <c r="B94" s="23"/>
      <c r="C94" s="24"/>
      <c r="D94" s="23"/>
      <c r="E94" s="25"/>
      <c r="F94" s="25"/>
      <c r="G94" s="25"/>
      <c r="H94" s="25"/>
      <c r="I94" s="23"/>
      <c r="J94" s="23"/>
      <c r="K94" s="24"/>
      <c r="L94" s="25" t="str">
        <f aca="false">IF(A94="","",IF(OR(E94="No",F94="No",G94="No"),"Needs Attention",IF(AND(H94="Yes",K94=""),"Discrepancy Open",IF(OR(E94="",F94="",G94="",H94=""),"In Progress","Complete"))))</f>
        <v/>
      </c>
    </row>
    <row r="95" customFormat="false" ht="15" hidden="false" customHeight="false" outlineLevel="0" collapsed="false">
      <c r="A95" s="20"/>
      <c r="B95" s="20"/>
      <c r="C95" s="21"/>
      <c r="D95" s="20"/>
      <c r="E95" s="22"/>
      <c r="F95" s="22"/>
      <c r="G95" s="22"/>
      <c r="H95" s="22"/>
      <c r="I95" s="20"/>
      <c r="J95" s="20"/>
      <c r="K95" s="21"/>
      <c r="L95" s="22" t="str">
        <f aca="false">IF(A95="","",IF(OR(E95="No",F95="No",G95="No"),"Needs Attention",IF(AND(H95="Yes",K95=""),"Discrepancy Open",IF(OR(E95="",F95="",G95="",H95=""),"In Progress","Complete"))))</f>
        <v/>
      </c>
    </row>
    <row r="96" customFormat="false" ht="15" hidden="false" customHeight="false" outlineLevel="0" collapsed="false">
      <c r="A96" s="23"/>
      <c r="B96" s="23"/>
      <c r="C96" s="24"/>
      <c r="D96" s="23"/>
      <c r="E96" s="25"/>
      <c r="F96" s="25"/>
      <c r="G96" s="25"/>
      <c r="H96" s="25"/>
      <c r="I96" s="23"/>
      <c r="J96" s="23"/>
      <c r="K96" s="24"/>
      <c r="L96" s="25" t="str">
        <f aca="false">IF(A96="","",IF(OR(E96="No",F96="No",G96="No"),"Needs Attention",IF(AND(H96="Yes",K96=""),"Discrepancy Open",IF(OR(E96="",F96="",G96="",H96=""),"In Progress","Complete"))))</f>
        <v/>
      </c>
    </row>
    <row r="97" customFormat="false" ht="15" hidden="false" customHeight="false" outlineLevel="0" collapsed="false">
      <c r="A97" s="20"/>
      <c r="B97" s="20"/>
      <c r="C97" s="21"/>
      <c r="D97" s="20"/>
      <c r="E97" s="22"/>
      <c r="F97" s="22"/>
      <c r="G97" s="22"/>
      <c r="H97" s="22"/>
      <c r="I97" s="20"/>
      <c r="J97" s="20"/>
      <c r="K97" s="21"/>
      <c r="L97" s="22" t="str">
        <f aca="false">IF(A97="","",IF(OR(E97="No",F97="No",G97="No"),"Needs Attention",IF(AND(H97="Yes",K97=""),"Discrepancy Open",IF(OR(E97="",F97="",G97="",H97=""),"In Progress","Complete"))))</f>
        <v/>
      </c>
    </row>
    <row r="98" customFormat="false" ht="15" hidden="false" customHeight="false" outlineLevel="0" collapsed="false">
      <c r="A98" s="23"/>
      <c r="B98" s="23"/>
      <c r="C98" s="24"/>
      <c r="D98" s="23"/>
      <c r="E98" s="25"/>
      <c r="F98" s="25"/>
      <c r="G98" s="25"/>
      <c r="H98" s="25"/>
      <c r="I98" s="23"/>
      <c r="J98" s="23"/>
      <c r="K98" s="24"/>
      <c r="L98" s="25" t="str">
        <f aca="false">IF(A98="","",IF(OR(E98="No",F98="No",G98="No"),"Needs Attention",IF(AND(H98="Yes",K98=""),"Discrepancy Open",IF(OR(E98="",F98="",G98="",H98=""),"In Progress","Complete"))))</f>
        <v/>
      </c>
    </row>
    <row r="99" customFormat="false" ht="15" hidden="false" customHeight="false" outlineLevel="0" collapsed="false">
      <c r="A99" s="20"/>
      <c r="B99" s="20"/>
      <c r="C99" s="21"/>
      <c r="D99" s="20"/>
      <c r="E99" s="22"/>
      <c r="F99" s="22"/>
      <c r="G99" s="22"/>
      <c r="H99" s="22"/>
      <c r="I99" s="20"/>
      <c r="J99" s="20"/>
      <c r="K99" s="21"/>
      <c r="L99" s="22" t="str">
        <f aca="false">IF(A99="","",IF(OR(E99="No",F99="No",G99="No"),"Needs Attention",IF(AND(H99="Yes",K99=""),"Discrepancy Open",IF(OR(E99="",F99="",G99="",H99=""),"In Progress","Complete"))))</f>
        <v/>
      </c>
    </row>
    <row r="100" customFormat="false" ht="15" hidden="false" customHeight="false" outlineLevel="0" collapsed="false">
      <c r="A100" s="23"/>
      <c r="B100" s="23"/>
      <c r="C100" s="24"/>
      <c r="D100" s="23"/>
      <c r="E100" s="25"/>
      <c r="F100" s="25"/>
      <c r="G100" s="25"/>
      <c r="H100" s="25"/>
      <c r="I100" s="23"/>
      <c r="J100" s="23"/>
      <c r="K100" s="24"/>
      <c r="L100" s="25" t="str">
        <f aca="false">IF(A100="","",IF(OR(E100="No",F100="No",G100="No"),"Needs Attention",IF(AND(H100="Yes",K100=""),"Discrepancy Open",IF(OR(E100="",F100="",G100="",H100=""),"In Progress","Complete"))))</f>
        <v/>
      </c>
    </row>
    <row r="101" customFormat="false" ht="15" hidden="false" customHeight="false" outlineLevel="0" collapsed="false">
      <c r="A101" s="20"/>
      <c r="B101" s="20"/>
      <c r="C101" s="21"/>
      <c r="D101" s="20"/>
      <c r="E101" s="22"/>
      <c r="F101" s="22"/>
      <c r="G101" s="22"/>
      <c r="H101" s="22"/>
      <c r="I101" s="20"/>
      <c r="J101" s="20"/>
      <c r="K101" s="21"/>
      <c r="L101" s="22" t="str">
        <f aca="false">IF(A101="","",IF(OR(E101="No",F101="No",G101="No"),"Needs Attention",IF(AND(H101="Yes",K101=""),"Discrepancy Open",IF(OR(E101="",F101="",G101="",H101=""),"In Progress","Complete"))))</f>
        <v/>
      </c>
    </row>
    <row r="102" customFormat="false" ht="15" hidden="false" customHeight="false" outlineLevel="0" collapsed="false">
      <c r="A102" s="23"/>
      <c r="B102" s="23"/>
      <c r="C102" s="24"/>
      <c r="D102" s="23"/>
      <c r="E102" s="25"/>
      <c r="F102" s="25"/>
      <c r="G102" s="25"/>
      <c r="H102" s="25"/>
      <c r="I102" s="23"/>
      <c r="J102" s="23"/>
      <c r="K102" s="24"/>
      <c r="L102" s="25" t="str">
        <f aca="false">IF(A102="","",IF(OR(E102="No",F102="No",G102="No"),"Needs Attention",IF(AND(H102="Yes",K102=""),"Discrepancy Open",IF(OR(E102="",F102="",G102="",H102=""),"In Progress","Complete"))))</f>
        <v/>
      </c>
    </row>
    <row r="103" customFormat="false" ht="15" hidden="false" customHeight="false" outlineLevel="0" collapsed="false">
      <c r="A103" s="20"/>
      <c r="B103" s="20"/>
      <c r="C103" s="21"/>
      <c r="D103" s="20"/>
      <c r="E103" s="22"/>
      <c r="F103" s="22"/>
      <c r="G103" s="22"/>
      <c r="H103" s="22"/>
      <c r="I103" s="20"/>
      <c r="J103" s="20"/>
      <c r="K103" s="21"/>
      <c r="L103" s="22" t="str">
        <f aca="false">IF(A103="","",IF(OR(E103="No",F103="No",G103="No"),"Needs Attention",IF(AND(H103="Yes",K103=""),"Discrepancy Open",IF(OR(E103="",F103="",G103="",H103=""),"In Progress","Complete"))))</f>
        <v/>
      </c>
    </row>
    <row r="104" customFormat="false" ht="15" hidden="false" customHeight="false" outlineLevel="0" collapsed="false">
      <c r="A104" s="23"/>
      <c r="B104" s="23"/>
      <c r="C104" s="24"/>
      <c r="D104" s="23"/>
      <c r="E104" s="25"/>
      <c r="F104" s="25"/>
      <c r="G104" s="25"/>
      <c r="H104" s="25"/>
      <c r="I104" s="23"/>
      <c r="J104" s="23"/>
      <c r="K104" s="24"/>
      <c r="L104" s="25" t="str">
        <f aca="false">IF(A104="","",IF(OR(E104="No",F104="No",G104="No"),"Needs Attention",IF(AND(H104="Yes",K104=""),"Discrepancy Open",IF(OR(E104="",F104="",G104="",H104=""),"In Progress","Complete"))))</f>
        <v/>
      </c>
    </row>
    <row r="105" customFormat="false" ht="15" hidden="false" customHeight="false" outlineLevel="0" collapsed="false">
      <c r="A105" s="20"/>
      <c r="B105" s="20"/>
      <c r="C105" s="21"/>
      <c r="D105" s="20"/>
      <c r="E105" s="22"/>
      <c r="F105" s="22"/>
      <c r="G105" s="22"/>
      <c r="H105" s="22"/>
      <c r="I105" s="20"/>
      <c r="J105" s="20"/>
      <c r="K105" s="21"/>
      <c r="L105" s="22" t="str">
        <f aca="false">IF(A105="","",IF(OR(E105="No",F105="No",G105="No"),"Needs Attention",IF(AND(H105="Yes",K105=""),"Discrepancy Open",IF(OR(E105="",F105="",G105="",H105=""),"In Progress","Complete"))))</f>
        <v/>
      </c>
    </row>
    <row r="106" customFormat="false" ht="15" hidden="false" customHeight="false" outlineLevel="0" collapsed="false">
      <c r="A106" s="23"/>
      <c r="B106" s="23"/>
      <c r="C106" s="24"/>
      <c r="D106" s="23"/>
      <c r="E106" s="25"/>
      <c r="F106" s="25"/>
      <c r="G106" s="25"/>
      <c r="H106" s="25"/>
      <c r="I106" s="23"/>
      <c r="J106" s="23"/>
      <c r="K106" s="24"/>
      <c r="L106" s="25" t="str">
        <f aca="false">IF(A106="","",IF(OR(E106="No",F106="No",G106="No"),"Needs Attention",IF(AND(H106="Yes",K106=""),"Discrepancy Open",IF(OR(E106="",F106="",G106="",H106=""),"In Progress","Complete"))))</f>
        <v/>
      </c>
    </row>
    <row r="107" customFormat="false" ht="15" hidden="false" customHeight="false" outlineLevel="0" collapsed="false">
      <c r="A107" s="20"/>
      <c r="B107" s="20"/>
      <c r="C107" s="21"/>
      <c r="D107" s="20"/>
      <c r="E107" s="22"/>
      <c r="F107" s="22"/>
      <c r="G107" s="22"/>
      <c r="H107" s="22"/>
      <c r="I107" s="20"/>
      <c r="J107" s="20"/>
      <c r="K107" s="21"/>
      <c r="L107" s="22" t="str">
        <f aca="false">IF(A107="","",IF(OR(E107="No",F107="No",G107="No"),"Needs Attention",IF(AND(H107="Yes",K107=""),"Discrepancy Open",IF(OR(E107="",F107="",G107="",H107=""),"In Progress","Complete"))))</f>
        <v/>
      </c>
    </row>
    <row r="108" customFormat="false" ht="15" hidden="false" customHeight="false" outlineLevel="0" collapsed="false">
      <c r="A108" s="23"/>
      <c r="B108" s="23"/>
      <c r="C108" s="24"/>
      <c r="D108" s="23"/>
      <c r="E108" s="25"/>
      <c r="F108" s="25"/>
      <c r="G108" s="25"/>
      <c r="H108" s="25"/>
      <c r="I108" s="23"/>
      <c r="J108" s="23"/>
      <c r="K108" s="24"/>
      <c r="L108" s="25" t="str">
        <f aca="false">IF(A108="","",IF(OR(E108="No",F108="No",G108="No"),"Needs Attention",IF(AND(H108="Yes",K108=""),"Discrepancy Open",IF(OR(E108="",F108="",G108="",H108=""),"In Progress","Complete"))))</f>
        <v/>
      </c>
    </row>
    <row r="109" customFormat="false" ht="15" hidden="false" customHeight="false" outlineLevel="0" collapsed="false">
      <c r="A109" s="20"/>
      <c r="B109" s="20"/>
      <c r="C109" s="21"/>
      <c r="D109" s="20"/>
      <c r="E109" s="22"/>
      <c r="F109" s="22"/>
      <c r="G109" s="22"/>
      <c r="H109" s="22"/>
      <c r="I109" s="20"/>
      <c r="J109" s="20"/>
      <c r="K109" s="21"/>
      <c r="L109" s="22" t="str">
        <f aca="false">IF(A109="","",IF(OR(E109="No",F109="No",G109="No"),"Needs Attention",IF(AND(H109="Yes",K109=""),"Discrepancy Open",IF(OR(E109="",F109="",G109="",H109=""),"In Progress","Complete"))))</f>
        <v/>
      </c>
    </row>
    <row r="110" customFormat="false" ht="15" hidden="false" customHeight="false" outlineLevel="0" collapsed="false">
      <c r="A110" s="23"/>
      <c r="B110" s="23"/>
      <c r="C110" s="24"/>
      <c r="D110" s="23"/>
      <c r="E110" s="25"/>
      <c r="F110" s="25"/>
      <c r="G110" s="25"/>
      <c r="H110" s="25"/>
      <c r="I110" s="23"/>
      <c r="J110" s="23"/>
      <c r="K110" s="24"/>
      <c r="L110" s="25" t="str">
        <f aca="false">IF(A110="","",IF(OR(E110="No",F110="No",G110="No"),"Needs Attention",IF(AND(H110="Yes",K110=""),"Discrepancy Open",IF(OR(E110="",F110="",G110="",H110=""),"In Progress","Complete"))))</f>
        <v/>
      </c>
    </row>
    <row r="111" customFormat="false" ht="15" hidden="false" customHeight="false" outlineLevel="0" collapsed="false">
      <c r="A111" s="20"/>
      <c r="B111" s="20"/>
      <c r="C111" s="21"/>
      <c r="D111" s="20"/>
      <c r="E111" s="22"/>
      <c r="F111" s="22"/>
      <c r="G111" s="22"/>
      <c r="H111" s="22"/>
      <c r="I111" s="20"/>
      <c r="J111" s="20"/>
      <c r="K111" s="21"/>
      <c r="L111" s="22" t="str">
        <f aca="false">IF(A111="","",IF(OR(E111="No",F111="No",G111="No"),"Needs Attention",IF(AND(H111="Yes",K111=""),"Discrepancy Open",IF(OR(E111="",F111="",G111="",H111=""),"In Progress","Complete"))))</f>
        <v/>
      </c>
    </row>
    <row r="112" customFormat="false" ht="15" hidden="false" customHeight="false" outlineLevel="0" collapsed="false">
      <c r="A112" s="23"/>
      <c r="B112" s="23"/>
      <c r="C112" s="24"/>
      <c r="D112" s="23"/>
      <c r="E112" s="25"/>
      <c r="F112" s="25"/>
      <c r="G112" s="25"/>
      <c r="H112" s="25"/>
      <c r="I112" s="23"/>
      <c r="J112" s="23"/>
      <c r="K112" s="24"/>
      <c r="L112" s="25" t="str">
        <f aca="false">IF(A112="","",IF(OR(E112="No",F112="No",G112="No"),"Needs Attention",IF(AND(H112="Yes",K112=""),"Discrepancy Open",IF(OR(E112="",F112="",G112="",H112=""),"In Progress","Complete"))))</f>
        <v/>
      </c>
    </row>
    <row r="113" customFormat="false" ht="15" hidden="false" customHeight="false" outlineLevel="0" collapsed="false">
      <c r="A113" s="20"/>
      <c r="B113" s="20"/>
      <c r="C113" s="21"/>
      <c r="D113" s="20"/>
      <c r="E113" s="22"/>
      <c r="F113" s="22"/>
      <c r="G113" s="22"/>
      <c r="H113" s="22"/>
      <c r="I113" s="20"/>
      <c r="J113" s="20"/>
      <c r="K113" s="21"/>
      <c r="L113" s="22" t="str">
        <f aca="false">IF(A113="","",IF(OR(E113="No",F113="No",G113="No"),"Needs Attention",IF(AND(H113="Yes",K113=""),"Discrepancy Open",IF(OR(E113="",F113="",G113="",H113=""),"In Progress","Complete"))))</f>
        <v/>
      </c>
    </row>
    <row r="114" customFormat="false" ht="15" hidden="false" customHeight="false" outlineLevel="0" collapsed="false">
      <c r="A114" s="23"/>
      <c r="B114" s="23"/>
      <c r="C114" s="24"/>
      <c r="D114" s="23"/>
      <c r="E114" s="25"/>
      <c r="F114" s="25"/>
      <c r="G114" s="25"/>
      <c r="H114" s="25"/>
      <c r="I114" s="23"/>
      <c r="J114" s="23"/>
      <c r="K114" s="24"/>
      <c r="L114" s="25" t="str">
        <f aca="false">IF(A114="","",IF(OR(E114="No",F114="No",G114="No"),"Needs Attention",IF(AND(H114="Yes",K114=""),"Discrepancy Open",IF(OR(E114="",F114="",G114="",H114=""),"In Progress","Complete"))))</f>
        <v/>
      </c>
    </row>
    <row r="115" customFormat="false" ht="15" hidden="false" customHeight="false" outlineLevel="0" collapsed="false">
      <c r="A115" s="20"/>
      <c r="B115" s="20"/>
      <c r="C115" s="21"/>
      <c r="D115" s="20"/>
      <c r="E115" s="22"/>
      <c r="F115" s="22"/>
      <c r="G115" s="22"/>
      <c r="H115" s="22"/>
      <c r="I115" s="20"/>
      <c r="J115" s="20"/>
      <c r="K115" s="21"/>
      <c r="L115" s="22" t="str">
        <f aca="false">IF(A115="","",IF(OR(E115="No",F115="No",G115="No"),"Needs Attention",IF(AND(H115="Yes",K115=""),"Discrepancy Open",IF(OR(E115="",F115="",G115="",H115=""),"In Progress","Complete"))))</f>
        <v/>
      </c>
    </row>
    <row r="116" customFormat="false" ht="15" hidden="false" customHeight="false" outlineLevel="0" collapsed="false">
      <c r="A116" s="23"/>
      <c r="B116" s="23"/>
      <c r="C116" s="24"/>
      <c r="D116" s="23"/>
      <c r="E116" s="25"/>
      <c r="F116" s="25"/>
      <c r="G116" s="25"/>
      <c r="H116" s="25"/>
      <c r="I116" s="23"/>
      <c r="J116" s="23"/>
      <c r="K116" s="24"/>
      <c r="L116" s="25" t="str">
        <f aca="false">IF(A116="","",IF(OR(E116="No",F116="No",G116="No"),"Needs Attention",IF(AND(H116="Yes",K116=""),"Discrepancy Open",IF(OR(E116="",F116="",G116="",H116=""),"In Progress","Complete"))))</f>
        <v/>
      </c>
    </row>
    <row r="117" customFormat="false" ht="15" hidden="false" customHeight="false" outlineLevel="0" collapsed="false">
      <c r="A117" s="20"/>
      <c r="B117" s="20"/>
      <c r="C117" s="21"/>
      <c r="D117" s="20"/>
      <c r="E117" s="22"/>
      <c r="F117" s="22"/>
      <c r="G117" s="22"/>
      <c r="H117" s="22"/>
      <c r="I117" s="20"/>
      <c r="J117" s="20"/>
      <c r="K117" s="21"/>
      <c r="L117" s="22" t="str">
        <f aca="false">IF(A117="","",IF(OR(E117="No",F117="No",G117="No"),"Needs Attention",IF(AND(H117="Yes",K117=""),"Discrepancy Open",IF(OR(E117="",F117="",G117="",H117=""),"In Progress","Complete"))))</f>
        <v/>
      </c>
    </row>
    <row r="118" customFormat="false" ht="15" hidden="false" customHeight="false" outlineLevel="0" collapsed="false">
      <c r="A118" s="23"/>
      <c r="B118" s="23"/>
      <c r="C118" s="24"/>
      <c r="D118" s="23"/>
      <c r="E118" s="25"/>
      <c r="F118" s="25"/>
      <c r="G118" s="25"/>
      <c r="H118" s="25"/>
      <c r="I118" s="23"/>
      <c r="J118" s="23"/>
      <c r="K118" s="24"/>
      <c r="L118" s="25" t="str">
        <f aca="false">IF(A118="","",IF(OR(E118="No",F118="No",G118="No"),"Needs Attention",IF(AND(H118="Yes",K118=""),"Discrepancy Open",IF(OR(E118="",F118="",G118="",H118=""),"In Progress","Complete"))))</f>
        <v/>
      </c>
    </row>
    <row r="119" customFormat="false" ht="15" hidden="false" customHeight="false" outlineLevel="0" collapsed="false">
      <c r="A119" s="20"/>
      <c r="B119" s="20"/>
      <c r="C119" s="21"/>
      <c r="D119" s="20"/>
      <c r="E119" s="22"/>
      <c r="F119" s="22"/>
      <c r="G119" s="22"/>
      <c r="H119" s="22"/>
      <c r="I119" s="20"/>
      <c r="J119" s="20"/>
      <c r="K119" s="21"/>
      <c r="L119" s="22" t="str">
        <f aca="false">IF(A119="","",IF(OR(E119="No",F119="No",G119="No"),"Needs Attention",IF(AND(H119="Yes",K119=""),"Discrepancy Open",IF(OR(E119="",F119="",G119="",H119=""),"In Progress","Complete"))))</f>
        <v/>
      </c>
    </row>
    <row r="120" customFormat="false" ht="15" hidden="false" customHeight="false" outlineLevel="0" collapsed="false">
      <c r="A120" s="23"/>
      <c r="B120" s="23"/>
      <c r="C120" s="24"/>
      <c r="D120" s="23"/>
      <c r="E120" s="25"/>
      <c r="F120" s="25"/>
      <c r="G120" s="25"/>
      <c r="H120" s="25"/>
      <c r="I120" s="23"/>
      <c r="J120" s="23"/>
      <c r="K120" s="24"/>
      <c r="L120" s="25" t="str">
        <f aca="false">IF(A120="","",IF(OR(E120="No",F120="No",G120="No"),"Needs Attention",IF(AND(H120="Yes",K120=""),"Discrepancy Open",IF(OR(E120="",F120="",G120="",H120=""),"In Progress","Complete"))))</f>
        <v/>
      </c>
    </row>
    <row r="121" customFormat="false" ht="15" hidden="false" customHeight="false" outlineLevel="0" collapsed="false">
      <c r="A121" s="20"/>
      <c r="B121" s="20"/>
      <c r="C121" s="21"/>
      <c r="D121" s="20"/>
      <c r="E121" s="22"/>
      <c r="F121" s="22"/>
      <c r="G121" s="22"/>
      <c r="H121" s="22"/>
      <c r="I121" s="20"/>
      <c r="J121" s="20"/>
      <c r="K121" s="21"/>
      <c r="L121" s="22" t="str">
        <f aca="false">IF(A121="","",IF(OR(E121="No",F121="No",G121="No"),"Needs Attention",IF(AND(H121="Yes",K121=""),"Discrepancy Open",IF(OR(E121="",F121="",G121="",H121=""),"In Progress","Complete"))))</f>
        <v/>
      </c>
    </row>
    <row r="122" customFormat="false" ht="15" hidden="false" customHeight="false" outlineLevel="0" collapsed="false">
      <c r="A122" s="23"/>
      <c r="B122" s="23"/>
      <c r="C122" s="24"/>
      <c r="D122" s="23"/>
      <c r="E122" s="25"/>
      <c r="F122" s="25"/>
      <c r="G122" s="25"/>
      <c r="H122" s="25"/>
      <c r="I122" s="23"/>
      <c r="J122" s="23"/>
      <c r="K122" s="24"/>
      <c r="L122" s="25" t="str">
        <f aca="false">IF(A122="","",IF(OR(E122="No",F122="No",G122="No"),"Needs Attention",IF(AND(H122="Yes",K122=""),"Discrepancy Open",IF(OR(E122="",F122="",G122="",H122=""),"In Progress","Complete"))))</f>
        <v/>
      </c>
    </row>
    <row r="123" customFormat="false" ht="15" hidden="false" customHeight="false" outlineLevel="0" collapsed="false">
      <c r="A123" s="20"/>
      <c r="B123" s="20"/>
      <c r="C123" s="21"/>
      <c r="D123" s="20"/>
      <c r="E123" s="22"/>
      <c r="F123" s="22"/>
      <c r="G123" s="22"/>
      <c r="H123" s="22"/>
      <c r="I123" s="20"/>
      <c r="J123" s="20"/>
      <c r="K123" s="21"/>
      <c r="L123" s="22" t="str">
        <f aca="false">IF(A123="","",IF(OR(E123="No",F123="No",G123="No"),"Needs Attention",IF(AND(H123="Yes",K123=""),"Discrepancy Open",IF(OR(E123="",F123="",G123="",H123=""),"In Progress","Complete"))))</f>
        <v/>
      </c>
    </row>
    <row r="124" customFormat="false" ht="15" hidden="false" customHeight="false" outlineLevel="0" collapsed="false">
      <c r="A124" s="23"/>
      <c r="B124" s="23"/>
      <c r="C124" s="24"/>
      <c r="D124" s="23"/>
      <c r="E124" s="25"/>
      <c r="F124" s="25"/>
      <c r="G124" s="25"/>
      <c r="H124" s="25"/>
      <c r="I124" s="23"/>
      <c r="J124" s="23"/>
      <c r="K124" s="24"/>
      <c r="L124" s="25" t="str">
        <f aca="false">IF(A124="","",IF(OR(E124="No",F124="No",G124="No"),"Needs Attention",IF(AND(H124="Yes",K124=""),"Discrepancy Open",IF(OR(E124="",F124="",G124="",H124=""),"In Progress","Complete"))))</f>
        <v/>
      </c>
    </row>
    <row r="125" customFormat="false" ht="15" hidden="false" customHeight="false" outlineLevel="0" collapsed="false">
      <c r="A125" s="20"/>
      <c r="B125" s="20"/>
      <c r="C125" s="21"/>
      <c r="D125" s="20"/>
      <c r="E125" s="22"/>
      <c r="F125" s="22"/>
      <c r="G125" s="22"/>
      <c r="H125" s="22"/>
      <c r="I125" s="20"/>
      <c r="J125" s="20"/>
      <c r="K125" s="21"/>
      <c r="L125" s="22" t="str">
        <f aca="false">IF(A125="","",IF(OR(E125="No",F125="No",G125="No"),"Needs Attention",IF(AND(H125="Yes",K125=""),"Discrepancy Open",IF(OR(E125="",F125="",G125="",H125=""),"In Progress","Complete"))))</f>
        <v/>
      </c>
    </row>
    <row r="126" customFormat="false" ht="15" hidden="false" customHeight="false" outlineLevel="0" collapsed="false">
      <c r="A126" s="23"/>
      <c r="B126" s="23"/>
      <c r="C126" s="24"/>
      <c r="D126" s="23"/>
      <c r="E126" s="25"/>
      <c r="F126" s="25"/>
      <c r="G126" s="25"/>
      <c r="H126" s="25"/>
      <c r="I126" s="23"/>
      <c r="J126" s="23"/>
      <c r="K126" s="24"/>
      <c r="L126" s="25" t="str">
        <f aca="false">IF(A126="","",IF(OR(E126="No",F126="No",G126="No"),"Needs Attention",IF(AND(H126="Yes",K126=""),"Discrepancy Open",IF(OR(E126="",F126="",G126="",H126=""),"In Progress","Complete"))))</f>
        <v/>
      </c>
    </row>
    <row r="127" customFormat="false" ht="15" hidden="false" customHeight="false" outlineLevel="0" collapsed="false">
      <c r="A127" s="20"/>
      <c r="B127" s="20"/>
      <c r="C127" s="21"/>
      <c r="D127" s="20"/>
      <c r="E127" s="22"/>
      <c r="F127" s="22"/>
      <c r="G127" s="22"/>
      <c r="H127" s="22"/>
      <c r="I127" s="20"/>
      <c r="J127" s="20"/>
      <c r="K127" s="21"/>
      <c r="L127" s="22" t="str">
        <f aca="false">IF(A127="","",IF(OR(E127="No",F127="No",G127="No"),"Needs Attention",IF(AND(H127="Yes",K127=""),"Discrepancy Open",IF(OR(E127="",F127="",G127="",H127=""),"In Progress","Complete"))))</f>
        <v/>
      </c>
    </row>
    <row r="128" customFormat="false" ht="15" hidden="false" customHeight="false" outlineLevel="0" collapsed="false">
      <c r="A128" s="23"/>
      <c r="B128" s="23"/>
      <c r="C128" s="24"/>
      <c r="D128" s="23"/>
      <c r="E128" s="25"/>
      <c r="F128" s="25"/>
      <c r="G128" s="25"/>
      <c r="H128" s="25"/>
      <c r="I128" s="23"/>
      <c r="J128" s="23"/>
      <c r="K128" s="24"/>
      <c r="L128" s="25" t="str">
        <f aca="false">IF(A128="","",IF(OR(E128="No",F128="No",G128="No"),"Needs Attention",IF(AND(H128="Yes",K128=""),"Discrepancy Open",IF(OR(E128="",F128="",G128="",H128=""),"In Progress","Complete"))))</f>
        <v/>
      </c>
    </row>
    <row r="129" customFormat="false" ht="15" hidden="false" customHeight="false" outlineLevel="0" collapsed="false">
      <c r="A129" s="20"/>
      <c r="B129" s="20"/>
      <c r="C129" s="21"/>
      <c r="D129" s="20"/>
      <c r="E129" s="22"/>
      <c r="F129" s="22"/>
      <c r="G129" s="22"/>
      <c r="H129" s="22"/>
      <c r="I129" s="20"/>
      <c r="J129" s="20"/>
      <c r="K129" s="21"/>
      <c r="L129" s="22" t="str">
        <f aca="false">IF(A129="","",IF(OR(E129="No",F129="No",G129="No"),"Needs Attention",IF(AND(H129="Yes",K129=""),"Discrepancy Open",IF(OR(E129="",F129="",G129="",H129=""),"In Progress","Complete"))))</f>
        <v/>
      </c>
    </row>
    <row r="130" customFormat="false" ht="15" hidden="false" customHeight="false" outlineLevel="0" collapsed="false">
      <c r="A130" s="23"/>
      <c r="B130" s="23"/>
      <c r="C130" s="24"/>
      <c r="D130" s="23"/>
      <c r="E130" s="25"/>
      <c r="F130" s="25"/>
      <c r="G130" s="25"/>
      <c r="H130" s="25"/>
      <c r="I130" s="23"/>
      <c r="J130" s="23"/>
      <c r="K130" s="24"/>
      <c r="L130" s="25" t="str">
        <f aca="false">IF(A130="","",IF(OR(E130="No",F130="No",G130="No"),"Needs Attention",IF(AND(H130="Yes",K130=""),"Discrepancy Open",IF(OR(E130="",F130="",G130="",H130=""),"In Progress","Complete"))))</f>
        <v/>
      </c>
    </row>
    <row r="131" customFormat="false" ht="15" hidden="false" customHeight="false" outlineLevel="0" collapsed="false">
      <c r="A131" s="20"/>
      <c r="B131" s="20"/>
      <c r="C131" s="21"/>
      <c r="D131" s="20"/>
      <c r="E131" s="22"/>
      <c r="F131" s="22"/>
      <c r="G131" s="22"/>
      <c r="H131" s="22"/>
      <c r="I131" s="20"/>
      <c r="J131" s="20"/>
      <c r="K131" s="21"/>
      <c r="L131" s="22" t="str">
        <f aca="false">IF(A131="","",IF(OR(E131="No",F131="No",G131="No"),"Needs Attention",IF(AND(H131="Yes",K131=""),"Discrepancy Open",IF(OR(E131="",F131="",G131="",H131=""),"In Progress","Complete"))))</f>
        <v/>
      </c>
    </row>
    <row r="132" customFormat="false" ht="15" hidden="false" customHeight="false" outlineLevel="0" collapsed="false">
      <c r="A132" s="23"/>
      <c r="B132" s="23"/>
      <c r="C132" s="24"/>
      <c r="D132" s="23"/>
      <c r="E132" s="25"/>
      <c r="F132" s="25"/>
      <c r="G132" s="25"/>
      <c r="H132" s="25"/>
      <c r="I132" s="23"/>
      <c r="J132" s="23"/>
      <c r="K132" s="24"/>
      <c r="L132" s="25" t="str">
        <f aca="false">IF(A132="","",IF(OR(E132="No",F132="No",G132="No"),"Needs Attention",IF(AND(H132="Yes",K132=""),"Discrepancy Open",IF(OR(E132="",F132="",G132="",H132=""),"In Progress","Complete"))))</f>
        <v/>
      </c>
    </row>
    <row r="133" customFormat="false" ht="15" hidden="false" customHeight="false" outlineLevel="0" collapsed="false">
      <c r="A133" s="20"/>
      <c r="B133" s="20"/>
      <c r="C133" s="21"/>
      <c r="D133" s="20"/>
      <c r="E133" s="22"/>
      <c r="F133" s="22"/>
      <c r="G133" s="22"/>
      <c r="H133" s="22"/>
      <c r="I133" s="20"/>
      <c r="J133" s="20"/>
      <c r="K133" s="21"/>
      <c r="L133" s="22" t="str">
        <f aca="false">IF(A133="","",IF(OR(E133="No",F133="No",G133="No"),"Needs Attention",IF(AND(H133="Yes",K133=""),"Discrepancy Open",IF(OR(E133="",F133="",G133="",H133=""),"In Progress","Complete"))))</f>
        <v/>
      </c>
    </row>
    <row r="134" customFormat="false" ht="15" hidden="false" customHeight="false" outlineLevel="0" collapsed="false">
      <c r="A134" s="23"/>
      <c r="B134" s="23"/>
      <c r="C134" s="24"/>
      <c r="D134" s="23"/>
      <c r="E134" s="25"/>
      <c r="F134" s="25"/>
      <c r="G134" s="25"/>
      <c r="H134" s="25"/>
      <c r="I134" s="23"/>
      <c r="J134" s="23"/>
      <c r="K134" s="24"/>
      <c r="L134" s="25" t="str">
        <f aca="false">IF(A134="","",IF(OR(E134="No",F134="No",G134="No"),"Needs Attention",IF(AND(H134="Yes",K134=""),"Discrepancy Open",IF(OR(E134="",F134="",G134="",H134=""),"In Progress","Complete"))))</f>
        <v/>
      </c>
    </row>
    <row r="135" customFormat="false" ht="15" hidden="false" customHeight="false" outlineLevel="0" collapsed="false">
      <c r="A135" s="20"/>
      <c r="B135" s="20"/>
      <c r="C135" s="21"/>
      <c r="D135" s="20"/>
      <c r="E135" s="22"/>
      <c r="F135" s="22"/>
      <c r="G135" s="22"/>
      <c r="H135" s="22"/>
      <c r="I135" s="20"/>
      <c r="J135" s="20"/>
      <c r="K135" s="21"/>
      <c r="L135" s="22" t="str">
        <f aca="false">IF(A135="","",IF(OR(E135="No",F135="No",G135="No"),"Needs Attention",IF(AND(H135="Yes",K135=""),"Discrepancy Open",IF(OR(E135="",F135="",G135="",H135=""),"In Progress","Complete"))))</f>
        <v/>
      </c>
    </row>
    <row r="136" customFormat="false" ht="15" hidden="false" customHeight="false" outlineLevel="0" collapsed="false">
      <c r="A136" s="23"/>
      <c r="B136" s="23"/>
      <c r="C136" s="24"/>
      <c r="D136" s="23"/>
      <c r="E136" s="25"/>
      <c r="F136" s="25"/>
      <c r="G136" s="25"/>
      <c r="H136" s="25"/>
      <c r="I136" s="23"/>
      <c r="J136" s="23"/>
      <c r="K136" s="24"/>
      <c r="L136" s="25" t="str">
        <f aca="false">IF(A136="","",IF(OR(E136="No",F136="No",G136="No"),"Needs Attention",IF(AND(H136="Yes",K136=""),"Discrepancy Open",IF(OR(E136="",F136="",G136="",H136=""),"In Progress","Complete"))))</f>
        <v/>
      </c>
    </row>
    <row r="137" customFormat="false" ht="15" hidden="false" customHeight="false" outlineLevel="0" collapsed="false">
      <c r="A137" s="20"/>
      <c r="B137" s="20"/>
      <c r="C137" s="21"/>
      <c r="D137" s="20"/>
      <c r="E137" s="22"/>
      <c r="F137" s="22"/>
      <c r="G137" s="22"/>
      <c r="H137" s="22"/>
      <c r="I137" s="20"/>
      <c r="J137" s="20"/>
      <c r="K137" s="21"/>
      <c r="L137" s="22" t="str">
        <f aca="false">IF(A137="","",IF(OR(E137="No",F137="No",G137="No"),"Needs Attention",IF(AND(H137="Yes",K137=""),"Discrepancy Open",IF(OR(E137="",F137="",G137="",H137=""),"In Progress","Complete"))))</f>
        <v/>
      </c>
    </row>
    <row r="138" customFormat="false" ht="15" hidden="false" customHeight="false" outlineLevel="0" collapsed="false">
      <c r="A138" s="23"/>
      <c r="B138" s="23"/>
      <c r="C138" s="24"/>
      <c r="D138" s="23"/>
      <c r="E138" s="25"/>
      <c r="F138" s="25"/>
      <c r="G138" s="25"/>
      <c r="H138" s="25"/>
      <c r="I138" s="23"/>
      <c r="J138" s="23"/>
      <c r="K138" s="24"/>
      <c r="L138" s="25" t="str">
        <f aca="false">IF(A138="","",IF(OR(E138="No",F138="No",G138="No"),"Needs Attention",IF(AND(H138="Yes",K138=""),"Discrepancy Open",IF(OR(E138="",F138="",G138="",H138=""),"In Progress","Complete"))))</f>
        <v/>
      </c>
    </row>
    <row r="139" customFormat="false" ht="15" hidden="false" customHeight="false" outlineLevel="0" collapsed="false">
      <c r="A139" s="20"/>
      <c r="B139" s="20"/>
      <c r="C139" s="21"/>
      <c r="D139" s="20"/>
      <c r="E139" s="22"/>
      <c r="F139" s="22"/>
      <c r="G139" s="22"/>
      <c r="H139" s="22"/>
      <c r="I139" s="20"/>
      <c r="J139" s="20"/>
      <c r="K139" s="21"/>
      <c r="L139" s="22" t="str">
        <f aca="false">IF(A139="","",IF(OR(E139="No",F139="No",G139="No"),"Needs Attention",IF(AND(H139="Yes",K139=""),"Discrepancy Open",IF(OR(E139="",F139="",G139="",H139=""),"In Progress","Complete"))))</f>
        <v/>
      </c>
    </row>
    <row r="140" customFormat="false" ht="15" hidden="false" customHeight="false" outlineLevel="0" collapsed="false">
      <c r="A140" s="23"/>
      <c r="B140" s="23"/>
      <c r="C140" s="24"/>
      <c r="D140" s="23"/>
      <c r="E140" s="25"/>
      <c r="F140" s="25"/>
      <c r="G140" s="25"/>
      <c r="H140" s="25"/>
      <c r="I140" s="23"/>
      <c r="J140" s="23"/>
      <c r="K140" s="24"/>
      <c r="L140" s="25" t="str">
        <f aca="false">IF(A140="","",IF(OR(E140="No",F140="No",G140="No"),"Needs Attention",IF(AND(H140="Yes",K140=""),"Discrepancy Open",IF(OR(E140="",F140="",G140="",H140=""),"In Progress","Complete"))))</f>
        <v/>
      </c>
    </row>
    <row r="141" customFormat="false" ht="15" hidden="false" customHeight="false" outlineLevel="0" collapsed="false">
      <c r="A141" s="20"/>
      <c r="B141" s="20"/>
      <c r="C141" s="21"/>
      <c r="D141" s="20"/>
      <c r="E141" s="22"/>
      <c r="F141" s="22"/>
      <c r="G141" s="22"/>
      <c r="H141" s="22"/>
      <c r="I141" s="20"/>
      <c r="J141" s="20"/>
      <c r="K141" s="21"/>
      <c r="L141" s="22" t="str">
        <f aca="false">IF(A141="","",IF(OR(E141="No",F141="No",G141="No"),"Needs Attention",IF(AND(H141="Yes",K141=""),"Discrepancy Open",IF(OR(E141="",F141="",G141="",H141=""),"In Progress","Complete"))))</f>
        <v/>
      </c>
    </row>
    <row r="142" customFormat="false" ht="15" hidden="false" customHeight="false" outlineLevel="0" collapsed="false">
      <c r="A142" s="23"/>
      <c r="B142" s="23"/>
      <c r="C142" s="24"/>
      <c r="D142" s="23"/>
      <c r="E142" s="25"/>
      <c r="F142" s="25"/>
      <c r="G142" s="25"/>
      <c r="H142" s="25"/>
      <c r="I142" s="23"/>
      <c r="J142" s="23"/>
      <c r="K142" s="24"/>
      <c r="L142" s="25" t="str">
        <f aca="false">IF(A142="","",IF(OR(E142="No",F142="No",G142="No"),"Needs Attention",IF(AND(H142="Yes",K142=""),"Discrepancy Open",IF(OR(E142="",F142="",G142="",H142=""),"In Progress","Complete"))))</f>
        <v/>
      </c>
    </row>
    <row r="143" customFormat="false" ht="15" hidden="false" customHeight="false" outlineLevel="0" collapsed="false">
      <c r="A143" s="20"/>
      <c r="B143" s="20"/>
      <c r="C143" s="21"/>
      <c r="D143" s="20"/>
      <c r="E143" s="22"/>
      <c r="F143" s="22"/>
      <c r="G143" s="22"/>
      <c r="H143" s="22"/>
      <c r="I143" s="20"/>
      <c r="J143" s="20"/>
      <c r="K143" s="21"/>
      <c r="L143" s="22" t="str">
        <f aca="false">IF(A143="","",IF(OR(E143="No",F143="No",G143="No"),"Needs Attention",IF(AND(H143="Yes",K143=""),"Discrepancy Open",IF(OR(E143="",F143="",G143="",H143=""),"In Progress","Complete"))))</f>
        <v/>
      </c>
    </row>
    <row r="144" customFormat="false" ht="15" hidden="false" customHeight="false" outlineLevel="0" collapsed="false">
      <c r="A144" s="23"/>
      <c r="B144" s="23"/>
      <c r="C144" s="24"/>
      <c r="D144" s="23"/>
      <c r="E144" s="25"/>
      <c r="F144" s="25"/>
      <c r="G144" s="25"/>
      <c r="H144" s="25"/>
      <c r="I144" s="23"/>
      <c r="J144" s="23"/>
      <c r="K144" s="24"/>
      <c r="L144" s="25" t="str">
        <f aca="false">IF(A144="","",IF(OR(E144="No",F144="No",G144="No"),"Needs Attention",IF(AND(H144="Yes",K144=""),"Discrepancy Open",IF(OR(E144="",F144="",G144="",H144=""),"In Progress","Complete"))))</f>
        <v/>
      </c>
    </row>
    <row r="145" customFormat="false" ht="15" hidden="false" customHeight="false" outlineLevel="0" collapsed="false">
      <c r="A145" s="20"/>
      <c r="B145" s="20"/>
      <c r="C145" s="21"/>
      <c r="D145" s="20"/>
      <c r="E145" s="22"/>
      <c r="F145" s="22"/>
      <c r="G145" s="22"/>
      <c r="H145" s="22"/>
      <c r="I145" s="20"/>
      <c r="J145" s="20"/>
      <c r="K145" s="21"/>
      <c r="L145" s="22" t="str">
        <f aca="false">IF(A145="","",IF(OR(E145="No",F145="No",G145="No"),"Needs Attention",IF(AND(H145="Yes",K145=""),"Discrepancy Open",IF(OR(E145="",F145="",G145="",H145=""),"In Progress","Complete"))))</f>
        <v/>
      </c>
    </row>
    <row r="146" customFormat="false" ht="15" hidden="false" customHeight="false" outlineLevel="0" collapsed="false">
      <c r="A146" s="23"/>
      <c r="B146" s="23"/>
      <c r="C146" s="24"/>
      <c r="D146" s="23"/>
      <c r="E146" s="25"/>
      <c r="F146" s="25"/>
      <c r="G146" s="25"/>
      <c r="H146" s="25"/>
      <c r="I146" s="23"/>
      <c r="J146" s="23"/>
      <c r="K146" s="24"/>
      <c r="L146" s="25" t="str">
        <f aca="false">IF(A146="","",IF(OR(E146="No",F146="No",G146="No"),"Needs Attention",IF(AND(H146="Yes",K146=""),"Discrepancy Open",IF(OR(E146="",F146="",G146="",H146=""),"In Progress","Complete"))))</f>
        <v/>
      </c>
    </row>
    <row r="147" customFormat="false" ht="15" hidden="false" customHeight="false" outlineLevel="0" collapsed="false">
      <c r="A147" s="20"/>
      <c r="B147" s="20"/>
      <c r="C147" s="21"/>
      <c r="D147" s="20"/>
      <c r="E147" s="22"/>
      <c r="F147" s="22"/>
      <c r="G147" s="22"/>
      <c r="H147" s="22"/>
      <c r="I147" s="20"/>
      <c r="J147" s="20"/>
      <c r="K147" s="21"/>
      <c r="L147" s="22" t="str">
        <f aca="false">IF(A147="","",IF(OR(E147="No",F147="No",G147="No"),"Needs Attention",IF(AND(H147="Yes",K147=""),"Discrepancy Open",IF(OR(E147="",F147="",G147="",H147=""),"In Progress","Complete"))))</f>
        <v/>
      </c>
    </row>
    <row r="148" customFormat="false" ht="15" hidden="false" customHeight="false" outlineLevel="0" collapsed="false">
      <c r="A148" s="23"/>
      <c r="B148" s="23"/>
      <c r="C148" s="24"/>
      <c r="D148" s="23"/>
      <c r="E148" s="25"/>
      <c r="F148" s="25"/>
      <c r="G148" s="25"/>
      <c r="H148" s="25"/>
      <c r="I148" s="23"/>
      <c r="J148" s="23"/>
      <c r="K148" s="24"/>
      <c r="L148" s="25" t="str">
        <f aca="false">IF(A148="","",IF(OR(E148="No",F148="No",G148="No"),"Needs Attention",IF(AND(H148="Yes",K148=""),"Discrepancy Open",IF(OR(E148="",F148="",G148="",H148=""),"In Progress","Complete"))))</f>
        <v/>
      </c>
    </row>
    <row r="149" customFormat="false" ht="15" hidden="false" customHeight="false" outlineLevel="0" collapsed="false">
      <c r="A149" s="20"/>
      <c r="B149" s="20"/>
      <c r="C149" s="21"/>
      <c r="D149" s="20"/>
      <c r="E149" s="22"/>
      <c r="F149" s="22"/>
      <c r="G149" s="22"/>
      <c r="H149" s="22"/>
      <c r="I149" s="20"/>
      <c r="J149" s="20"/>
      <c r="K149" s="21"/>
      <c r="L149" s="22" t="str">
        <f aca="false">IF(A149="","",IF(OR(E149="No",F149="No",G149="No"),"Needs Attention",IF(AND(H149="Yes",K149=""),"Discrepancy Open",IF(OR(E149="",F149="",G149="",H149=""),"In Progress","Complete"))))</f>
        <v/>
      </c>
    </row>
    <row r="150" customFormat="false" ht="15" hidden="false" customHeight="false" outlineLevel="0" collapsed="false">
      <c r="A150" s="23"/>
      <c r="B150" s="23"/>
      <c r="C150" s="24"/>
      <c r="D150" s="23"/>
      <c r="E150" s="25"/>
      <c r="F150" s="25"/>
      <c r="G150" s="25"/>
      <c r="H150" s="25"/>
      <c r="I150" s="23"/>
      <c r="J150" s="23"/>
      <c r="K150" s="24"/>
      <c r="L150" s="25" t="str">
        <f aca="false">IF(A150="","",IF(OR(E150="No",F150="No",G150="No"),"Needs Attention",IF(AND(H150="Yes",K150=""),"Discrepancy Open",IF(OR(E150="",F150="",G150="",H150=""),"In Progress","Complete"))))</f>
        <v/>
      </c>
    </row>
    <row r="151" customFormat="false" ht="15" hidden="false" customHeight="false" outlineLevel="0" collapsed="false">
      <c r="A151" s="20"/>
      <c r="B151" s="20"/>
      <c r="C151" s="21"/>
      <c r="D151" s="20"/>
      <c r="E151" s="22"/>
      <c r="F151" s="22"/>
      <c r="G151" s="22"/>
      <c r="H151" s="22"/>
      <c r="I151" s="20"/>
      <c r="J151" s="20"/>
      <c r="K151" s="21"/>
      <c r="L151" s="22" t="str">
        <f aca="false">IF(A151="","",IF(OR(E151="No",F151="No",G151="No"),"Needs Attention",IF(AND(H151="Yes",K151=""),"Discrepancy Open",IF(OR(E151="",F151="",G151="",H151=""),"In Progress","Complete"))))</f>
        <v/>
      </c>
    </row>
    <row r="152" customFormat="false" ht="15" hidden="false" customHeight="false" outlineLevel="0" collapsed="false">
      <c r="A152" s="23"/>
      <c r="B152" s="23"/>
      <c r="C152" s="24"/>
      <c r="D152" s="23"/>
      <c r="E152" s="25"/>
      <c r="F152" s="25"/>
      <c r="G152" s="25"/>
      <c r="H152" s="25"/>
      <c r="I152" s="23"/>
      <c r="J152" s="23"/>
      <c r="K152" s="24"/>
      <c r="L152" s="25" t="str">
        <f aca="false">IF(A152="","",IF(OR(E152="No",F152="No",G152="No"),"Needs Attention",IF(AND(H152="Yes",K152=""),"Discrepancy Open",IF(OR(E152="",F152="",G152="",H152=""),"In Progress","Complete"))))</f>
        <v/>
      </c>
    </row>
    <row r="153" customFormat="false" ht="15" hidden="false" customHeight="false" outlineLevel="0" collapsed="false">
      <c r="A153" s="20"/>
      <c r="B153" s="20"/>
      <c r="C153" s="21"/>
      <c r="D153" s="20"/>
      <c r="E153" s="22"/>
      <c r="F153" s="22"/>
      <c r="G153" s="22"/>
      <c r="H153" s="22"/>
      <c r="I153" s="20"/>
      <c r="J153" s="20"/>
      <c r="K153" s="21"/>
      <c r="L153" s="22" t="str">
        <f aca="false">IF(A153="","",IF(OR(E153="No",F153="No",G153="No"),"Needs Attention",IF(AND(H153="Yes",K153=""),"Discrepancy Open",IF(OR(E153="",F153="",G153="",H153=""),"In Progress","Complete"))))</f>
        <v/>
      </c>
    </row>
    <row r="154" customFormat="false" ht="15" hidden="false" customHeight="false" outlineLevel="0" collapsed="false">
      <c r="A154" s="23"/>
      <c r="B154" s="23"/>
      <c r="C154" s="24"/>
      <c r="D154" s="23"/>
      <c r="E154" s="25"/>
      <c r="F154" s="25"/>
      <c r="G154" s="25"/>
      <c r="H154" s="25"/>
      <c r="I154" s="23"/>
      <c r="J154" s="23"/>
      <c r="K154" s="24"/>
      <c r="L154" s="25" t="str">
        <f aca="false">IF(A154="","",IF(OR(E154="No",F154="No",G154="No"),"Needs Attention",IF(AND(H154="Yes",K154=""),"Discrepancy Open",IF(OR(E154="",F154="",G154="",H154=""),"In Progress","Complete"))))</f>
        <v/>
      </c>
    </row>
  </sheetData>
  <conditionalFormatting sqref="L5:L154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expression" priority="4" aboveAverage="0" equalAverage="0" bottom="0" percent="0" rank="0" text="" dxfId="2">
      <formula>OR(L5="Needs Attention",L5="Discrepancy Open")</formula>
    </cfRule>
  </conditionalFormatting>
  <conditionalFormatting sqref="E5:H154">
    <cfRule type="cellIs" priority="5" operator="equal" aboveAverage="0" equalAverage="0" bottom="0" percent="0" rank="0" text="" dxfId="3">
      <formula>"No"</formula>
    </cfRule>
  </conditionalFormatting>
  <dataValidations count="2">
    <dataValidation allowBlank="true" errorStyle="stop" operator="between" showDropDown="false" showErrorMessage="false" showInputMessage="false" sqref="E5:G154" type="list">
      <formula1>"Yes,No,N/A"</formula1>
      <formula2>0</formula2>
    </dataValidation>
    <dataValidation allowBlank="true" errorStyle="stop" operator="between" showDropDown="false" showErrorMessage="false" showInputMessage="false" sqref="H5:H154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2026-09-30T02:43:12Z</dcterms:created>
  <dc:creator>openpyxl</dc:creator>
  <dc:description/>
  <dc:language>en-US</dc:language>
  <cp:lastModifiedBy/>
  <dcterms:modified xsi:type="dcterms:W3CDTF">2026-09-30T02:43:12Z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