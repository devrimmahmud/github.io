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Dashboard" sheetId="1" state="visible" r:id="rId3"/>
    <sheet name="Night Audit Log" sheetId="2" state="visible" r:id="rId4"/>
  </sheets>
  <definedNames>
    <definedName function="false" hidden="false" localSheetId="0" name="_xlnm.Print_Area" vbProcedure="false">'Audit Dashboard'!$A$1:$H$34</definedName>
    <definedName function="false" hidden="false" localSheetId="1" name="_xlnm.Print_Area" vbProcedure="false">'Night Audit Log'!$A$1:$Q$35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<sst xmlns="http://schemas.openxmlformats.org/spreadsheetml/2006/main" count="101" uniqueCount="86">
  <si>
    <t xml:space="preserve">Daily Revenue &amp; Night Audit Dashboard</t>
  </si>
  <si>
    <t xml:space="preserve">TEMPLATE  |  Created by Tahsin Devrim Mahmud  |  Contains no real or confidential data</t>
  </si>
  <si>
    <t xml:space="preserve">Cash variance tolerance (per day)</t>
  </si>
  <si>
    <t xml:space="preserve">HOW TO USE THIS DASHBOARD</t>
  </si>
  <si>
    <t xml:space="preserve">SET UP:</t>
  </si>
  <si>
    <t xml:space="preserve">MONTH-TO-DATE KPIs</t>
  </si>
  <si>
    <t xml:space="preserve">  Enter your cash variance tolerance in the yellow cell.</t>
  </si>
  <si>
    <t xml:space="preserve">Total revenue</t>
  </si>
  <si>
    <t xml:space="preserve">Room revenue</t>
  </si>
  <si>
    <t xml:space="preserve">  Any day with a larger over / short is flagged on the log.</t>
  </si>
  <si>
    <t xml:space="preserve">DAILY:</t>
  </si>
  <si>
    <t xml:space="preserve">Occupancy</t>
  </si>
  <si>
    <t xml:space="preserve">ADR (average daily rate)</t>
  </si>
  <si>
    <t xml:space="preserve">  Complete the Night Audit Log tab for each business day.</t>
  </si>
  <si>
    <t xml:space="preserve">  Work through the Nightly Close Checklist and mark each step ☑.</t>
  </si>
  <si>
    <t xml:space="preserve">RevPAR</t>
  </si>
  <si>
    <t xml:space="preserve">Net cash over / (short)</t>
  </si>
  <si>
    <t xml:space="preserve">WHAT THE KPIs MEAN:</t>
  </si>
  <si>
    <t xml:space="preserve">  Occupancy shows how full the property was.</t>
  </si>
  <si>
    <t xml:space="preserve">Days flagged for investigation</t>
  </si>
  <si>
    <t xml:space="preserve">Days audited</t>
  </si>
  <si>
    <t xml:space="preserve">  ADR shows the average rate earned per occupied room.</t>
  </si>
  <si>
    <t xml:space="preserve">  RevPAR combines both: room revenue per available room.</t>
  </si>
  <si>
    <t xml:space="preserve">  Revenue Mix shows each department's share of total revenue.</t>
  </si>
  <si>
    <t xml:space="preserve">REVENUE MIX</t>
  </si>
  <si>
    <t xml:space="preserve">  Days flagged shows how many days need a variance explanation.</t>
  </si>
  <si>
    <t xml:space="preserve">Department</t>
  </si>
  <si>
    <t xml:space="preserve">Revenue</t>
  </si>
  <si>
    <t xml:space="preserve">Share of total</t>
  </si>
  <si>
    <t xml:space="preserve">MONTH-END:</t>
  </si>
  <si>
    <t xml:space="preserve">Rooms</t>
  </si>
  <si>
    <t xml:space="preserve">  Save a copy of the workbook, then clear the inputs for the</t>
  </si>
  <si>
    <t xml:space="preserve">Food &amp; Beverage</t>
  </si>
  <si>
    <t xml:space="preserve">  new month. All formulas and formatting stay in place.</t>
  </si>
  <si>
    <t xml:space="preserve">Other</t>
  </si>
  <si>
    <t xml:space="preserve">COLOUR LEGEND</t>
  </si>
  <si>
    <t xml:space="preserve">NIGHTLY CLOSE CHECKLIST</t>
  </si>
  <si>
    <t xml:space="preserve">  Pink column header  =  you type in this column</t>
  </si>
  <si>
    <t xml:space="preserve">Step</t>
  </si>
  <si>
    <t xml:space="preserve">Done ☐/☑</t>
  </si>
  <si>
    <t xml:space="preserve">Notes</t>
  </si>
  <si>
    <t xml:space="preserve">  Navy column header  =  calculates automatically (do not overwrite)</t>
  </si>
  <si>
    <t xml:space="preserve">Balance and count all cashier banks</t>
  </si>
  <si>
    <t xml:space="preserve">☐</t>
  </si>
  <si>
    <t xml:space="preserve">  Yellow cell  =  a setting you choose</t>
  </si>
  <si>
    <t xml:space="preserve">Reconcile card settlement batches</t>
  </si>
  <si>
    <t xml:space="preserve">  Green / amber / red highlights  =  status flags</t>
  </si>
  <si>
    <t xml:space="preserve">Post room and tax charges</t>
  </si>
  <si>
    <t xml:space="preserve">Review rate and discount variances</t>
  </si>
  <si>
    <t xml:space="preserve">Match cash deposits to cashier reports</t>
  </si>
  <si>
    <t xml:space="preserve">Document and follow up on variances</t>
  </si>
  <si>
    <t xml:space="preserve">Run and file end-of-day reports</t>
  </si>
  <si>
    <t xml:space="preserve">Sign off the audit pack</t>
  </si>
  <si>
    <t xml:space="preserve">Checklist complete</t>
  </si>
  <si>
    <t xml:space="preserve">Daily Revenue &amp; Night Audit Log</t>
  </si>
  <si>
    <t xml:space="preserve">Date</t>
  </si>
  <si>
    <t xml:space="preserve">Rooms Available</t>
  </si>
  <si>
    <t xml:space="preserve">Rooms Sold</t>
  </si>
  <si>
    <t xml:space="preserve">Room Revenue</t>
  </si>
  <si>
    <t xml:space="preserve">Food &amp; Beverage Revenue</t>
  </si>
  <si>
    <t xml:space="preserve">Other Revenue</t>
  </si>
  <si>
    <t xml:space="preserve">Total Revenue</t>
  </si>
  <si>
    <t xml:space="preserve">Cash Expected</t>
  </si>
  <si>
    <t xml:space="preserve">Cash Deposited</t>
  </si>
  <si>
    <t xml:space="preserve">Cash Over / (Short)</t>
  </si>
  <si>
    <t xml:space="preserve">ADR</t>
  </si>
  <si>
    <t xml:space="preserve">Audit Flag</t>
  </si>
  <si>
    <t xml:space="preserve">Auditor Initials</t>
  </si>
  <si>
    <t xml:space="preserve">HOW TO USE THE NIGHT AUDIT LOG</t>
  </si>
  <si>
    <t xml:space="preserve">EACH NIGHT:</t>
  </si>
  <si>
    <t xml:space="preserve">  Add one row per business day and enter the date.</t>
  </si>
  <si>
    <t xml:space="preserve">  Enter rooms available and rooms sold from the property system.</t>
  </si>
  <si>
    <t xml:space="preserve">  Enter revenue by department: rooms, food &amp; beverage, other.</t>
  </si>
  <si>
    <t xml:space="preserve">  Enter cash expected (from the cashier reports) and cash deposited.</t>
  </si>
  <si>
    <t xml:space="preserve">  Add your initials so every audit day has an owner.</t>
  </si>
  <si>
    <t xml:space="preserve">WHAT CALCULATES AUTOMATICALLY:</t>
  </si>
  <si>
    <t xml:space="preserve">  Total Revenue = rooms + food &amp; beverage + other revenue.</t>
  </si>
  <si>
    <t xml:space="preserve">  Cash Over / (Short) = cash deposited minus cash expected.</t>
  </si>
  <si>
    <t xml:space="preserve">  Occupancy = rooms sold divided by rooms available.</t>
  </si>
  <si>
    <t xml:space="preserve">  ADR (average daily rate) = room revenue divided by rooms sold.</t>
  </si>
  <si>
    <t xml:space="preserve">  RevPAR = room revenue divided by rooms available.</t>
  </si>
  <si>
    <t xml:space="preserve">  Audit Flag = INVESTIGATE when the cash variance is larger than</t>
  </si>
  <si>
    <t xml:space="preserve">  the tolerance set on the Audit Dashboard, otherwise OK.</t>
  </si>
  <si>
    <t xml:space="preserve">WHEN A DAY IS FLAGGED:</t>
  </si>
  <si>
    <t xml:space="preserve">  Recount the cashier bank, compare to the shift report, and</t>
  </si>
  <si>
    <t xml:space="preserve">  document the cause and follow-up before closing the day.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</si>
</sst>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#,##0;\(#,##0\);\-"/>
    <numFmt numFmtId="168" formatCode="0%;;\-"/>
    <numFmt numFmtId="169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11821"/>
      <name val="Arial"/>
      <family val="0"/>
      <charset val="1"/>
    </font>
    <font>
      <i val="true"/>
      <sz val="9"/>
      <color rgb="FFE31B6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11821"/>
      <name val="Arial"/>
      <family val="0"/>
      <charset val="1"/>
    </font>
    <font>
      <b val="true"/>
      <sz val="11"/>
      <color rgb="FFE31B6D"/>
      <name val="Arial"/>
      <family val="0"/>
      <charset val="1"/>
    </font>
    <font>
      <sz val="10"/>
      <color rgb="FF333333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5"/>
      <color rgb="FF11182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2"/>
      <color rgb="FFE31B6D"/>
      <name val="Arial"/>
      <family val="0"/>
      <charset val="1"/>
    </font>
    <font>
      <b val="true"/>
      <sz val="12"/>
      <color rgb="FFE31B6D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59D"/>
        <bgColor rgb="FFFDF0F5"/>
      </patternFill>
    </fill>
    <fill>
      <patternFill patternType="solid">
        <fgColor rgb="FFE31B6D"/>
        <bgColor rgb="FFB71C1C"/>
      </patternFill>
    </fill>
    <fill>
      <patternFill patternType="solid">
        <fgColor rgb="FFFDF0F5"/>
        <bgColor rgb="FFF6F7F9"/>
      </patternFill>
    </fill>
    <fill>
      <patternFill patternType="solid">
        <fgColor rgb="FF111821"/>
        <bgColor rgb="FF000000"/>
      </patternFill>
    </fill>
    <fill>
      <patternFill patternType="solid">
        <fgColor rgb="FFF6F7F9"/>
        <bgColor rgb="FFFDF0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 diagonalUp="false" diagonalDown="false">
      <left/>
      <right/>
      <top/>
      <bottom style="thick">
        <color rgb="FFE31B6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8E6C9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FFCDD2"/>
        </patternFill>
      </fill>
    </dxf>
  </dxfs>
  <colors>
    <indexedColors>
      <rgbColor rgb="FF000000"/>
      <rgbColor rgb="FFFFFFFF"/>
      <rgbColor rgb="FFE31B6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7F9"/>
      <rgbColor rgb="FFFDF0F5"/>
      <rgbColor rgb="FF660066"/>
      <rgbColor rgb="FFFF8080"/>
      <rgbColor rgb="FF0066CC"/>
      <rgbColor rgb="FFD5DA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59D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821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3"/>
    <col collapsed="false" customWidth="true" hidden="false" outlineLevel="0" max="8" min="8" style="0" width="74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C4" s="4"/>
      <c r="H4" s="5" t="s">
        <v>3</v>
      </c>
    </row>
    <row r="5" customFormat="false" ht="15" hidden="false" customHeight="false" outlineLevel="0" collapsed="false">
      <c r="H5" s="6" t="s">
        <v>4</v>
      </c>
    </row>
    <row r="6" customFormat="false" ht="15" hidden="false" customHeight="false" outlineLevel="0" collapsed="false">
      <c r="A6" s="7" t="s">
        <v>5</v>
      </c>
      <c r="H6" s="8" t="s">
        <v>6</v>
      </c>
    </row>
    <row r="7" customFormat="false" ht="15" hidden="false" customHeight="false" outlineLevel="0" collapsed="false">
      <c r="A7" s="9" t="s">
        <v>7</v>
      </c>
      <c r="E7" s="9" t="s">
        <v>8</v>
      </c>
      <c r="H7" s="8" t="s">
        <v>9</v>
      </c>
    </row>
    <row r="8" customFormat="false" ht="18.55" hidden="false" customHeight="false" outlineLevel="0" collapsed="false">
      <c r="A8" s="10" t="n">
        <f aca="false">SUM('Night Audit Log'!G5:G35)</f>
        <v>0</v>
      </c>
      <c r="E8" s="10" t="n">
        <f aca="false">SUM('Night Audit Log'!D5:D35)</f>
        <v>0</v>
      </c>
      <c r="H8" s="6" t="s">
        <v>10</v>
      </c>
    </row>
    <row r="9" customFormat="false" ht="15" hidden="false" customHeight="false" outlineLevel="0" collapsed="false">
      <c r="A9" s="9" t="s">
        <v>11</v>
      </c>
      <c r="E9" s="9" t="s">
        <v>12</v>
      </c>
      <c r="H9" s="8" t="s">
        <v>13</v>
      </c>
    </row>
    <row r="10" customFormat="false" ht="18.55" hidden="false" customHeight="false" outlineLevel="0" collapsed="false">
      <c r="A10" s="11" t="n">
        <f aca="false">IFERROR(SUM('Night Audit Log'!C5:C35)/SUM('Night Audit Log'!B5:B35),0)</f>
        <v>0</v>
      </c>
      <c r="E10" s="10" t="n">
        <f aca="false">IFERROR(SUM('Night Audit Log'!D5:D35)/SUM('Night Audit Log'!C5:C35),0)</f>
        <v>0</v>
      </c>
      <c r="H10" s="8" t="s">
        <v>14</v>
      </c>
    </row>
    <row r="11" customFormat="false" ht="15" hidden="false" customHeight="false" outlineLevel="0" collapsed="false">
      <c r="A11" s="9" t="s">
        <v>15</v>
      </c>
      <c r="E11" s="9" t="s">
        <v>16</v>
      </c>
      <c r="H11" s="6" t="s">
        <v>17</v>
      </c>
    </row>
    <row r="12" customFormat="false" ht="18.55" hidden="false" customHeight="false" outlineLevel="0" collapsed="false">
      <c r="A12" s="10" t="n">
        <f aca="false">IFERROR(SUM('Night Audit Log'!D5:D35)/SUM('Night Audit Log'!B5:B35),0)</f>
        <v>0</v>
      </c>
      <c r="E12" s="10" t="n">
        <f aca="false">SUM('Night Audit Log'!J5:J35)</f>
        <v>0</v>
      </c>
      <c r="H12" s="8" t="s">
        <v>18</v>
      </c>
    </row>
    <row r="13" customFormat="false" ht="15" hidden="false" customHeight="false" outlineLevel="0" collapsed="false">
      <c r="A13" s="9" t="s">
        <v>19</v>
      </c>
      <c r="E13" s="9" t="s">
        <v>20</v>
      </c>
      <c r="H13" s="8" t="s">
        <v>21</v>
      </c>
    </row>
    <row r="14" customFormat="false" ht="18.55" hidden="false" customHeight="false" outlineLevel="0" collapsed="false">
      <c r="A14" s="12" t="n">
        <f aca="false">COUNTIF('Night Audit Log'!N5:N35,"INVESTIGATE")</f>
        <v>0</v>
      </c>
      <c r="E14" s="12" t="n">
        <f aca="false">COUNT('Night Audit Log'!A5:A35)</f>
        <v>0</v>
      </c>
      <c r="H14" s="8" t="s">
        <v>22</v>
      </c>
    </row>
    <row r="15" customFormat="false" ht="15" hidden="false" customHeight="false" outlineLevel="0" collapsed="false">
      <c r="H15" s="8" t="s">
        <v>23</v>
      </c>
    </row>
    <row r="16" customFormat="false" ht="15" hidden="false" customHeight="false" outlineLevel="0" collapsed="false">
      <c r="A16" s="7" t="s">
        <v>24</v>
      </c>
      <c r="H16" s="8" t="s">
        <v>25</v>
      </c>
    </row>
    <row r="17" customFormat="false" ht="15" hidden="false" customHeight="false" outlineLevel="0" collapsed="false">
      <c r="A17" s="13" t="s">
        <v>26</v>
      </c>
      <c r="C17" s="13" t="s">
        <v>27</v>
      </c>
      <c r="E17" s="13" t="s">
        <v>28</v>
      </c>
      <c r="H17" s="6" t="s">
        <v>29</v>
      </c>
    </row>
    <row r="18" customFormat="false" ht="15" hidden="false" customHeight="false" outlineLevel="0" collapsed="false">
      <c r="A18" s="14" t="s">
        <v>30</v>
      </c>
      <c r="C18" s="15" t="n">
        <f aca="false">SUM('Night Audit Log'!D5:D35)</f>
        <v>0</v>
      </c>
      <c r="E18" s="16" t="n">
        <f aca="false">IFERROR(C18/SUM($C$18:$C$20),0)</f>
        <v>0</v>
      </c>
      <c r="H18" s="8" t="s">
        <v>31</v>
      </c>
    </row>
    <row r="19" customFormat="false" ht="15" hidden="false" customHeight="false" outlineLevel="0" collapsed="false">
      <c r="A19" s="14" t="s">
        <v>32</v>
      </c>
      <c r="C19" s="15" t="n">
        <f aca="false">SUM('Night Audit Log'!E5:E35)</f>
        <v>0</v>
      </c>
      <c r="E19" s="16" t="n">
        <f aca="false">IFERROR(C19/SUM($C$18:$C$20),0)</f>
        <v>0</v>
      </c>
      <c r="H19" s="8" t="s">
        <v>33</v>
      </c>
    </row>
    <row r="20" customFormat="false" ht="15" hidden="false" customHeight="false" outlineLevel="0" collapsed="false">
      <c r="A20" s="14" t="s">
        <v>34</v>
      </c>
      <c r="C20" s="15" t="n">
        <f aca="false">SUM('Night Audit Log'!F5:F35)</f>
        <v>0</v>
      </c>
      <c r="E20" s="16" t="n">
        <f aca="false">IFERROR(C20/SUM($C$18:$C$20),0)</f>
        <v>0</v>
      </c>
      <c r="H20" s="8"/>
    </row>
    <row r="21" customFormat="false" ht="15" hidden="false" customHeight="false" outlineLevel="0" collapsed="false">
      <c r="H21" s="6" t="s">
        <v>35</v>
      </c>
    </row>
    <row r="22" customFormat="false" ht="15" hidden="false" customHeight="false" outlineLevel="0" collapsed="false">
      <c r="A22" s="7" t="s">
        <v>36</v>
      </c>
      <c r="H22" s="8" t="s">
        <v>37</v>
      </c>
    </row>
    <row r="23" customFormat="false" ht="15" hidden="false" customHeight="false" outlineLevel="0" collapsed="false">
      <c r="A23" s="13" t="s">
        <v>38</v>
      </c>
      <c r="C23" s="17" t="s">
        <v>39</v>
      </c>
      <c r="E23" s="17" t="s">
        <v>40</v>
      </c>
      <c r="H23" s="8" t="s">
        <v>41</v>
      </c>
    </row>
    <row r="24" customFormat="false" ht="15" hidden="false" customHeight="false" outlineLevel="0" collapsed="false">
      <c r="A24" s="14" t="s">
        <v>42</v>
      </c>
      <c r="C24" s="18" t="s">
        <v>43</v>
      </c>
      <c r="E24" s="14"/>
      <c r="H24" s="8" t="s">
        <v>44</v>
      </c>
    </row>
    <row r="25" customFormat="false" ht="15" hidden="false" customHeight="false" outlineLevel="0" collapsed="false">
      <c r="A25" s="14" t="s">
        <v>45</v>
      </c>
      <c r="C25" s="18" t="s">
        <v>43</v>
      </c>
      <c r="E25" s="14"/>
      <c r="H25" s="19" t="s">
        <v>46</v>
      </c>
    </row>
    <row r="26" customFormat="false" ht="15" hidden="false" customHeight="false" outlineLevel="0" collapsed="false">
      <c r="A26" s="14" t="s">
        <v>47</v>
      </c>
      <c r="C26" s="18" t="s">
        <v>43</v>
      </c>
      <c r="E26" s="14"/>
    </row>
    <row r="27" customFormat="false" ht="15" hidden="false" customHeight="false" outlineLevel="0" collapsed="false">
      <c r="A27" s="14" t="s">
        <v>48</v>
      </c>
      <c r="C27" s="18" t="s">
        <v>43</v>
      </c>
      <c r="E27" s="14"/>
    </row>
    <row r="28" customFormat="false" ht="15" hidden="false" customHeight="false" outlineLevel="0" collapsed="false">
      <c r="A28" s="14" t="s">
        <v>49</v>
      </c>
      <c r="C28" s="18" t="s">
        <v>43</v>
      </c>
      <c r="E28" s="14"/>
    </row>
    <row r="29" customFormat="false" ht="15" hidden="false" customHeight="false" outlineLevel="0" collapsed="false">
      <c r="A29" s="14" t="s">
        <v>50</v>
      </c>
      <c r="C29" s="18" t="s">
        <v>43</v>
      </c>
      <c r="E29" s="14"/>
    </row>
    <row r="30" customFormat="false" ht="15" hidden="false" customHeight="false" outlineLevel="0" collapsed="false">
      <c r="A30" s="14" t="s">
        <v>51</v>
      </c>
      <c r="C30" s="18" t="s">
        <v>43</v>
      </c>
      <c r="E30" s="14"/>
    </row>
    <row r="31" customFormat="false" ht="15" hidden="false" customHeight="false" outlineLevel="0" collapsed="false">
      <c r="A31" s="14" t="s">
        <v>52</v>
      </c>
      <c r="C31" s="18" t="s">
        <v>43</v>
      </c>
      <c r="E31" s="14"/>
    </row>
    <row r="33" customFormat="false" ht="15" hidden="false" customHeight="false" outlineLevel="0" collapsed="false">
      <c r="A33" s="3" t="s">
        <v>53</v>
      </c>
      <c r="C33" s="20" t="n">
        <f aca="false">IFERROR(COUNTIF(C24:C31,"☑")/COUNTA(A24:A31),0)</f>
        <v>0</v>
      </c>
    </row>
  </sheetData>
  <conditionalFormatting sqref="E18:E20">
    <cfRule type="dataBar" priority="2">
      <dataBar showValue="1" minLength="10" maxLength="90">
        <cfvo type="num" val="0"/>
        <cfvo type="num" val="1"/>
        <color rgb="FFE31B6D"/>
      </dataBar>
      <extLst>
        <ext xmlns:x14="http://schemas.microsoft.com/office/spreadsheetml/2009/9/main" uri="{B025F937-C7B1-47D3-B67F-A62EFF666E3E}">
          <x14:id>{90A51317-3111-4E23-B34C-B7869EB03240}</x14:id>
        </ext>
      </extLst>
    </cfRule>
  </conditionalFormatting>
  <conditionalFormatting sqref="A24:E31">
    <cfRule type="expression" priority="3" aboveAverage="0" equalAverage="0" bottom="0" percent="0" rank="0" text="" dxfId="0">
      <formula>$C24="☑"</formula>
    </cfRule>
  </conditionalFormatting>
  <conditionalFormatting sqref="C33">
    <cfRule type="dataBar" priority="4">
      <dataBar showValue="1" minLength="10" maxLength="90">
        <cfvo type="num" val="0"/>
        <cfvo type="num" val="1"/>
        <color rgb="FFE31B6D"/>
      </dataBar>
      <extLst>
        <ext xmlns:x14="http://schemas.microsoft.com/office/spreadsheetml/2009/9/main" uri="{B025F937-C7B1-47D3-B67F-A62EFF666E3E}">
          <x14:id>{A0A6CDC5-2193-40CF-A594-F5CC1E6682D8}</x14:id>
        </ext>
      </extLst>
    </cfRule>
  </conditionalFormatting>
  <dataValidations count="1">
    <dataValidation allowBlank="true" errorStyle="stop" operator="between" showDropDown="false" showErrorMessage="false" showInputMessage="false" sqref="C24:C31" type="list">
      <formula1>"☐,☑"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A51317-3111-4E23-B34C-B7869EB0324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31B6D"/>
              <x14:axisColor rgb="FF000000"/>
            </x14:dataBar>
          </x14:cfRule>
          <xm:sqref>E18:E20</xm:sqref>
        </x14:conditionalFormatting>
        <x14:conditionalFormatting xmlns:xm="http://schemas.microsoft.com/office/excel/2006/main">
          <x14:cfRule type="dataBar" id="{A0A6CDC5-2193-40CF-A594-F5CC1E6682D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31B6D"/>
              <x14:axisColor rgb="FF000000"/>
            </x14:dataBar>
          </x14:cfRule>
          <xm:sqref>C33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10" min="8" style="0" width="12"/>
    <col collapsed="false" customWidth="true" hidden="false" outlineLevel="0" max="13" min="11" style="0" width="10"/>
    <col collapsed="false" customWidth="true" hidden="false" outlineLevel="0" max="14" min="14" style="0" width="13"/>
    <col collapsed="false" customWidth="true" hidden="false" outlineLevel="0" max="15" min="15" style="0" width="10"/>
    <col collapsed="false" customWidth="true" hidden="false" outlineLevel="0" max="16" min="16" style="0" width="3"/>
    <col collapsed="false" customWidth="true" hidden="false" outlineLevel="0" max="17" min="17" style="0" width="74"/>
  </cols>
  <sheetData>
    <row r="1" customFormat="false" ht="27.75" hidden="false" customHeight="true" outlineLevel="0" collapsed="false">
      <c r="A1" s="1" t="s">
        <v>54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21" t="s">
        <v>55</v>
      </c>
      <c r="B4" s="21" t="s">
        <v>56</v>
      </c>
      <c r="C4" s="21" t="s">
        <v>57</v>
      </c>
      <c r="D4" s="21" t="s">
        <v>58</v>
      </c>
      <c r="E4" s="21" t="s">
        <v>59</v>
      </c>
      <c r="F4" s="21" t="s">
        <v>60</v>
      </c>
      <c r="G4" s="22" t="s">
        <v>61</v>
      </c>
      <c r="H4" s="21" t="s">
        <v>62</v>
      </c>
      <c r="I4" s="21" t="s">
        <v>63</v>
      </c>
      <c r="J4" s="22" t="s">
        <v>64</v>
      </c>
      <c r="K4" s="22" t="s">
        <v>11</v>
      </c>
      <c r="L4" s="22" t="s">
        <v>65</v>
      </c>
      <c r="M4" s="22" t="s">
        <v>15</v>
      </c>
      <c r="N4" s="22" t="s">
        <v>66</v>
      </c>
      <c r="O4" s="21" t="s">
        <v>67</v>
      </c>
      <c r="Q4" s="5" t="s">
        <v>68</v>
      </c>
    </row>
    <row r="5" customFormat="false" ht="15" hidden="false" customHeight="false" outlineLevel="0" collapsed="false">
      <c r="A5" s="23"/>
      <c r="B5" s="24"/>
      <c r="C5" s="24"/>
      <c r="D5" s="25"/>
      <c r="E5" s="25"/>
      <c r="F5" s="25"/>
      <c r="G5" s="25" t="str">
        <f aca="false">IF(COUNT(D5:F5)=0,"",SUM(D5:F5))</f>
        <v/>
      </c>
      <c r="H5" s="25"/>
      <c r="I5" s="25"/>
      <c r="J5" s="25" t="str">
        <f aca="false">IF(OR(H5="",I5=""),"",I5-H5)</f>
        <v/>
      </c>
      <c r="K5" s="26" t="str">
        <f aca="false">IF(OR(B5="",C5=""),"",IFERROR(C5/B5,""))</f>
        <v/>
      </c>
      <c r="L5" s="25" t="str">
        <f aca="false">IF(OR(C5="",D5=""),"",IFERROR(D5/C5,""))</f>
        <v/>
      </c>
      <c r="M5" s="25" t="str">
        <f aca="false">IF(OR(B5="",D5=""),"",IFERROR(D5/B5,""))</f>
        <v/>
      </c>
      <c r="N5" s="24" t="str">
        <f aca="false">IF(J5="","",IF(ABS(J5)&gt;N('Audit Dashboard'!$C$4),"INVESTIGATE","OK"))</f>
        <v/>
      </c>
      <c r="O5" s="24"/>
      <c r="Q5" s="6" t="s">
        <v>69</v>
      </c>
    </row>
    <row r="6" customFormat="false" ht="15" hidden="false" customHeight="false" outlineLevel="0" collapsed="false">
      <c r="A6" s="27"/>
      <c r="B6" s="28"/>
      <c r="C6" s="28"/>
      <c r="D6" s="29"/>
      <c r="E6" s="29"/>
      <c r="F6" s="29"/>
      <c r="G6" s="29" t="str">
        <f aca="false">IF(COUNT(D6:F6)=0,"",SUM(D6:F6))</f>
        <v/>
      </c>
      <c r="H6" s="29"/>
      <c r="I6" s="29"/>
      <c r="J6" s="29" t="str">
        <f aca="false">IF(OR(H6="",I6=""),"",I6-H6)</f>
        <v/>
      </c>
      <c r="K6" s="30" t="str">
        <f aca="false">IF(OR(B6="",C6=""),"",IFERROR(C6/B6,""))</f>
        <v/>
      </c>
      <c r="L6" s="29" t="str">
        <f aca="false">IF(OR(C6="",D6=""),"",IFERROR(D6/C6,""))</f>
        <v/>
      </c>
      <c r="M6" s="29" t="str">
        <f aca="false">IF(OR(B6="",D6=""),"",IFERROR(D6/B6,""))</f>
        <v/>
      </c>
      <c r="N6" s="28" t="str">
        <f aca="false">IF(J6="","",IF(ABS(J6)&gt;N('Audit Dashboard'!$C$4),"INVESTIGATE","OK"))</f>
        <v/>
      </c>
      <c r="O6" s="28"/>
      <c r="Q6" s="8" t="s">
        <v>70</v>
      </c>
    </row>
    <row r="7" customFormat="false" ht="15" hidden="false" customHeight="false" outlineLevel="0" collapsed="false">
      <c r="A7" s="23"/>
      <c r="B7" s="24"/>
      <c r="C7" s="24"/>
      <c r="D7" s="25"/>
      <c r="E7" s="25"/>
      <c r="F7" s="25"/>
      <c r="G7" s="25" t="str">
        <f aca="false">IF(COUNT(D7:F7)=0,"",SUM(D7:F7))</f>
        <v/>
      </c>
      <c r="H7" s="25"/>
      <c r="I7" s="25"/>
      <c r="J7" s="25" t="str">
        <f aca="false">IF(OR(H7="",I7=""),"",I7-H7)</f>
        <v/>
      </c>
      <c r="K7" s="26" t="str">
        <f aca="false">IF(OR(B7="",C7=""),"",IFERROR(C7/B7,""))</f>
        <v/>
      </c>
      <c r="L7" s="25" t="str">
        <f aca="false">IF(OR(C7="",D7=""),"",IFERROR(D7/C7,""))</f>
        <v/>
      </c>
      <c r="M7" s="25" t="str">
        <f aca="false">IF(OR(B7="",D7=""),"",IFERROR(D7/B7,""))</f>
        <v/>
      </c>
      <c r="N7" s="24" t="str">
        <f aca="false">IF(J7="","",IF(ABS(J7)&gt;N('Audit Dashboard'!$C$4),"INVESTIGATE","OK"))</f>
        <v/>
      </c>
      <c r="O7" s="24"/>
      <c r="Q7" s="8" t="s">
        <v>71</v>
      </c>
    </row>
    <row r="8" customFormat="false" ht="15" hidden="false" customHeight="false" outlineLevel="0" collapsed="false">
      <c r="A8" s="27"/>
      <c r="B8" s="28"/>
      <c r="C8" s="28"/>
      <c r="D8" s="29"/>
      <c r="E8" s="29"/>
      <c r="F8" s="29"/>
      <c r="G8" s="29" t="str">
        <f aca="false">IF(COUNT(D8:F8)=0,"",SUM(D8:F8))</f>
        <v/>
      </c>
      <c r="H8" s="29"/>
      <c r="I8" s="29"/>
      <c r="J8" s="29" t="str">
        <f aca="false">IF(OR(H8="",I8=""),"",I8-H8)</f>
        <v/>
      </c>
      <c r="K8" s="30" t="str">
        <f aca="false">IF(OR(B8="",C8=""),"",IFERROR(C8/B8,""))</f>
        <v/>
      </c>
      <c r="L8" s="29" t="str">
        <f aca="false">IF(OR(C8="",D8=""),"",IFERROR(D8/C8,""))</f>
        <v/>
      </c>
      <c r="M8" s="29" t="str">
        <f aca="false">IF(OR(B8="",D8=""),"",IFERROR(D8/B8,""))</f>
        <v/>
      </c>
      <c r="N8" s="28" t="str">
        <f aca="false">IF(J8="","",IF(ABS(J8)&gt;N('Audit Dashboard'!$C$4),"INVESTIGATE","OK"))</f>
        <v/>
      </c>
      <c r="O8" s="28"/>
      <c r="Q8" s="8" t="s">
        <v>72</v>
      </c>
    </row>
    <row r="9" customFormat="false" ht="15" hidden="false" customHeight="false" outlineLevel="0" collapsed="false">
      <c r="A9" s="23"/>
      <c r="B9" s="24"/>
      <c r="C9" s="24"/>
      <c r="D9" s="25"/>
      <c r="E9" s="25"/>
      <c r="F9" s="25"/>
      <c r="G9" s="25" t="str">
        <f aca="false">IF(COUNT(D9:F9)=0,"",SUM(D9:F9))</f>
        <v/>
      </c>
      <c r="H9" s="25"/>
      <c r="I9" s="25"/>
      <c r="J9" s="25" t="str">
        <f aca="false">IF(OR(H9="",I9=""),"",I9-H9)</f>
        <v/>
      </c>
      <c r="K9" s="26" t="str">
        <f aca="false">IF(OR(B9="",C9=""),"",IFERROR(C9/B9,""))</f>
        <v/>
      </c>
      <c r="L9" s="25" t="str">
        <f aca="false">IF(OR(C9="",D9=""),"",IFERROR(D9/C9,""))</f>
        <v/>
      </c>
      <c r="M9" s="25" t="str">
        <f aca="false">IF(OR(B9="",D9=""),"",IFERROR(D9/B9,""))</f>
        <v/>
      </c>
      <c r="N9" s="24" t="str">
        <f aca="false">IF(J9="","",IF(ABS(J9)&gt;N('Audit Dashboard'!$C$4),"INVESTIGATE","OK"))</f>
        <v/>
      </c>
      <c r="O9" s="24"/>
      <c r="Q9" s="8" t="s">
        <v>73</v>
      </c>
    </row>
    <row r="10" customFormat="false" ht="15" hidden="false" customHeight="false" outlineLevel="0" collapsed="false">
      <c r="A10" s="27"/>
      <c r="B10" s="28"/>
      <c r="C10" s="28"/>
      <c r="D10" s="29"/>
      <c r="E10" s="29"/>
      <c r="F10" s="29"/>
      <c r="G10" s="29" t="str">
        <f aca="false">IF(COUNT(D10:F10)=0,"",SUM(D10:F10))</f>
        <v/>
      </c>
      <c r="H10" s="29"/>
      <c r="I10" s="29"/>
      <c r="J10" s="29" t="str">
        <f aca="false">IF(OR(H10="",I10=""),"",I10-H10)</f>
        <v/>
      </c>
      <c r="K10" s="30" t="str">
        <f aca="false">IF(OR(B10="",C10=""),"",IFERROR(C10/B10,""))</f>
        <v/>
      </c>
      <c r="L10" s="29" t="str">
        <f aca="false">IF(OR(C10="",D10=""),"",IFERROR(D10/C10,""))</f>
        <v/>
      </c>
      <c r="M10" s="29" t="str">
        <f aca="false">IF(OR(B10="",D10=""),"",IFERROR(D10/B10,""))</f>
        <v/>
      </c>
      <c r="N10" s="28" t="str">
        <f aca="false">IF(J10="","",IF(ABS(J10)&gt;N('Audit Dashboard'!$C$4),"INVESTIGATE","OK"))</f>
        <v/>
      </c>
      <c r="O10" s="28"/>
      <c r="Q10" s="8" t="s">
        <v>74</v>
      </c>
    </row>
    <row r="11" customFormat="false" ht="15" hidden="false" customHeight="false" outlineLevel="0" collapsed="false">
      <c r="A11" s="23"/>
      <c r="B11" s="24"/>
      <c r="C11" s="24"/>
      <c r="D11" s="25"/>
      <c r="E11" s="25"/>
      <c r="F11" s="25"/>
      <c r="G11" s="25" t="str">
        <f aca="false">IF(COUNT(D11:F11)=0,"",SUM(D11:F11))</f>
        <v/>
      </c>
      <c r="H11" s="25"/>
      <c r="I11" s="25"/>
      <c r="J11" s="25" t="str">
        <f aca="false">IF(OR(H11="",I11=""),"",I11-H11)</f>
        <v/>
      </c>
      <c r="K11" s="26" t="str">
        <f aca="false">IF(OR(B11="",C11=""),"",IFERROR(C11/B11,""))</f>
        <v/>
      </c>
      <c r="L11" s="25" t="str">
        <f aca="false">IF(OR(C11="",D11=""),"",IFERROR(D11/C11,""))</f>
        <v/>
      </c>
      <c r="M11" s="25" t="str">
        <f aca="false">IF(OR(B11="",D11=""),"",IFERROR(D11/B11,""))</f>
        <v/>
      </c>
      <c r="N11" s="24" t="str">
        <f aca="false">IF(J11="","",IF(ABS(J11)&gt;N('Audit Dashboard'!$C$4),"INVESTIGATE","OK"))</f>
        <v/>
      </c>
      <c r="O11" s="24"/>
      <c r="Q11" s="6" t="s">
        <v>75</v>
      </c>
    </row>
    <row r="12" customFormat="false" ht="15" hidden="false" customHeight="false" outlineLevel="0" collapsed="false">
      <c r="A12" s="27"/>
      <c r="B12" s="28"/>
      <c r="C12" s="28"/>
      <c r="D12" s="29"/>
      <c r="E12" s="29"/>
      <c r="F12" s="29"/>
      <c r="G12" s="29" t="str">
        <f aca="false">IF(COUNT(D12:F12)=0,"",SUM(D12:F12))</f>
        <v/>
      </c>
      <c r="H12" s="29"/>
      <c r="I12" s="29"/>
      <c r="J12" s="29" t="str">
        <f aca="false">IF(OR(H12="",I12=""),"",I12-H12)</f>
        <v/>
      </c>
      <c r="K12" s="30" t="str">
        <f aca="false">IF(OR(B12="",C12=""),"",IFERROR(C12/B12,""))</f>
        <v/>
      </c>
      <c r="L12" s="29" t="str">
        <f aca="false">IF(OR(C12="",D12=""),"",IFERROR(D12/C12,""))</f>
        <v/>
      </c>
      <c r="M12" s="29" t="str">
        <f aca="false">IF(OR(B12="",D12=""),"",IFERROR(D12/B12,""))</f>
        <v/>
      </c>
      <c r="N12" s="28" t="str">
        <f aca="false">IF(J12="","",IF(ABS(J12)&gt;N('Audit Dashboard'!$C$4),"INVESTIGATE","OK"))</f>
        <v/>
      </c>
      <c r="O12" s="28"/>
      <c r="Q12" s="8" t="s">
        <v>76</v>
      </c>
    </row>
    <row r="13" customFormat="false" ht="15" hidden="false" customHeight="false" outlineLevel="0" collapsed="false">
      <c r="A13" s="23"/>
      <c r="B13" s="24"/>
      <c r="C13" s="24"/>
      <c r="D13" s="25"/>
      <c r="E13" s="25"/>
      <c r="F13" s="25"/>
      <c r="G13" s="25" t="str">
        <f aca="false">IF(COUNT(D13:F13)=0,"",SUM(D13:F13))</f>
        <v/>
      </c>
      <c r="H13" s="25"/>
      <c r="I13" s="25"/>
      <c r="J13" s="25" t="str">
        <f aca="false">IF(OR(H13="",I13=""),"",I13-H13)</f>
        <v/>
      </c>
      <c r="K13" s="26" t="str">
        <f aca="false">IF(OR(B13="",C13=""),"",IFERROR(C13/B13,""))</f>
        <v/>
      </c>
      <c r="L13" s="25" t="str">
        <f aca="false">IF(OR(C13="",D13=""),"",IFERROR(D13/C13,""))</f>
        <v/>
      </c>
      <c r="M13" s="25" t="str">
        <f aca="false">IF(OR(B13="",D13=""),"",IFERROR(D13/B13,""))</f>
        <v/>
      </c>
      <c r="N13" s="24" t="str">
        <f aca="false">IF(J13="","",IF(ABS(J13)&gt;N('Audit Dashboard'!$C$4),"INVESTIGATE","OK"))</f>
        <v/>
      </c>
      <c r="O13" s="24"/>
      <c r="Q13" s="8" t="s">
        <v>77</v>
      </c>
    </row>
    <row r="14" customFormat="false" ht="15" hidden="false" customHeight="false" outlineLevel="0" collapsed="false">
      <c r="A14" s="27"/>
      <c r="B14" s="28"/>
      <c r="C14" s="28"/>
      <c r="D14" s="29"/>
      <c r="E14" s="29"/>
      <c r="F14" s="29"/>
      <c r="G14" s="29" t="str">
        <f aca="false">IF(COUNT(D14:F14)=0,"",SUM(D14:F14))</f>
        <v/>
      </c>
      <c r="H14" s="29"/>
      <c r="I14" s="29"/>
      <c r="J14" s="29" t="str">
        <f aca="false">IF(OR(H14="",I14=""),"",I14-H14)</f>
        <v/>
      </c>
      <c r="K14" s="30" t="str">
        <f aca="false">IF(OR(B14="",C14=""),"",IFERROR(C14/B14,""))</f>
        <v/>
      </c>
      <c r="L14" s="29" t="str">
        <f aca="false">IF(OR(C14="",D14=""),"",IFERROR(D14/C14,""))</f>
        <v/>
      </c>
      <c r="M14" s="29" t="str">
        <f aca="false">IF(OR(B14="",D14=""),"",IFERROR(D14/B14,""))</f>
        <v/>
      </c>
      <c r="N14" s="28" t="str">
        <f aca="false">IF(J14="","",IF(ABS(J14)&gt;N('Audit Dashboard'!$C$4),"INVESTIGATE","OK"))</f>
        <v/>
      </c>
      <c r="O14" s="28"/>
      <c r="Q14" s="8" t="s">
        <v>78</v>
      </c>
    </row>
    <row r="15" customFormat="false" ht="15" hidden="false" customHeight="false" outlineLevel="0" collapsed="false">
      <c r="A15" s="23"/>
      <c r="B15" s="24"/>
      <c r="C15" s="24"/>
      <c r="D15" s="25"/>
      <c r="E15" s="25"/>
      <c r="F15" s="25"/>
      <c r="G15" s="25" t="str">
        <f aca="false">IF(COUNT(D15:F15)=0,"",SUM(D15:F15))</f>
        <v/>
      </c>
      <c r="H15" s="25"/>
      <c r="I15" s="25"/>
      <c r="J15" s="25" t="str">
        <f aca="false">IF(OR(H15="",I15=""),"",I15-H15)</f>
        <v/>
      </c>
      <c r="K15" s="26" t="str">
        <f aca="false">IF(OR(B15="",C15=""),"",IFERROR(C15/B15,""))</f>
        <v/>
      </c>
      <c r="L15" s="25" t="str">
        <f aca="false">IF(OR(C15="",D15=""),"",IFERROR(D15/C15,""))</f>
        <v/>
      </c>
      <c r="M15" s="25" t="str">
        <f aca="false">IF(OR(B15="",D15=""),"",IFERROR(D15/B15,""))</f>
        <v/>
      </c>
      <c r="N15" s="24" t="str">
        <f aca="false">IF(J15="","",IF(ABS(J15)&gt;N('Audit Dashboard'!$C$4),"INVESTIGATE","OK"))</f>
        <v/>
      </c>
      <c r="O15" s="24"/>
      <c r="Q15" s="8" t="s">
        <v>79</v>
      </c>
    </row>
    <row r="16" customFormat="false" ht="15" hidden="false" customHeight="false" outlineLevel="0" collapsed="false">
      <c r="A16" s="27"/>
      <c r="B16" s="28"/>
      <c r="C16" s="28"/>
      <c r="D16" s="29"/>
      <c r="E16" s="29"/>
      <c r="F16" s="29"/>
      <c r="G16" s="29" t="str">
        <f aca="false">IF(COUNT(D16:F16)=0,"",SUM(D16:F16))</f>
        <v/>
      </c>
      <c r="H16" s="29"/>
      <c r="I16" s="29"/>
      <c r="J16" s="29" t="str">
        <f aca="false">IF(OR(H16="",I16=""),"",I16-H16)</f>
        <v/>
      </c>
      <c r="K16" s="30" t="str">
        <f aca="false">IF(OR(B16="",C16=""),"",IFERROR(C16/B16,""))</f>
        <v/>
      </c>
      <c r="L16" s="29" t="str">
        <f aca="false">IF(OR(C16="",D16=""),"",IFERROR(D16/C16,""))</f>
        <v/>
      </c>
      <c r="M16" s="29" t="str">
        <f aca="false">IF(OR(B16="",D16=""),"",IFERROR(D16/B16,""))</f>
        <v/>
      </c>
      <c r="N16" s="28" t="str">
        <f aca="false">IF(J16="","",IF(ABS(J16)&gt;N('Audit Dashboard'!$C$4),"INVESTIGATE","OK"))</f>
        <v/>
      </c>
      <c r="O16" s="28"/>
      <c r="Q16" s="8" t="s">
        <v>80</v>
      </c>
    </row>
    <row r="17" customFormat="false" ht="15" hidden="false" customHeight="false" outlineLevel="0" collapsed="false">
      <c r="A17" s="23"/>
      <c r="B17" s="24"/>
      <c r="C17" s="24"/>
      <c r="D17" s="25"/>
      <c r="E17" s="25"/>
      <c r="F17" s="25"/>
      <c r="G17" s="25" t="str">
        <f aca="false">IF(COUNT(D17:F17)=0,"",SUM(D17:F17))</f>
        <v/>
      </c>
      <c r="H17" s="25"/>
      <c r="I17" s="25"/>
      <c r="J17" s="25" t="str">
        <f aca="false">IF(OR(H17="",I17=""),"",I17-H17)</f>
        <v/>
      </c>
      <c r="K17" s="26" t="str">
        <f aca="false">IF(OR(B17="",C17=""),"",IFERROR(C17/B17,""))</f>
        <v/>
      </c>
      <c r="L17" s="25" t="str">
        <f aca="false">IF(OR(C17="",D17=""),"",IFERROR(D17/C17,""))</f>
        <v/>
      </c>
      <c r="M17" s="25" t="str">
        <f aca="false">IF(OR(B17="",D17=""),"",IFERROR(D17/B17,""))</f>
        <v/>
      </c>
      <c r="N17" s="24" t="str">
        <f aca="false">IF(J17="","",IF(ABS(J17)&gt;N('Audit Dashboard'!$C$4),"INVESTIGATE","OK"))</f>
        <v/>
      </c>
      <c r="O17" s="24"/>
      <c r="Q17" s="8" t="s">
        <v>81</v>
      </c>
    </row>
    <row r="18" customFormat="false" ht="15" hidden="false" customHeight="false" outlineLevel="0" collapsed="false">
      <c r="A18" s="27"/>
      <c r="B18" s="28"/>
      <c r="C18" s="28"/>
      <c r="D18" s="29"/>
      <c r="E18" s="29"/>
      <c r="F18" s="29"/>
      <c r="G18" s="29" t="str">
        <f aca="false">IF(COUNT(D18:F18)=0,"",SUM(D18:F18))</f>
        <v/>
      </c>
      <c r="H18" s="29"/>
      <c r="I18" s="29"/>
      <c r="J18" s="29" t="str">
        <f aca="false">IF(OR(H18="",I18=""),"",I18-H18)</f>
        <v/>
      </c>
      <c r="K18" s="30" t="str">
        <f aca="false">IF(OR(B18="",C18=""),"",IFERROR(C18/B18,""))</f>
        <v/>
      </c>
      <c r="L18" s="29" t="str">
        <f aca="false">IF(OR(C18="",D18=""),"",IFERROR(D18/C18,""))</f>
        <v/>
      </c>
      <c r="M18" s="29" t="str">
        <f aca="false">IF(OR(B18="",D18=""),"",IFERROR(D18/B18,""))</f>
        <v/>
      </c>
      <c r="N18" s="28" t="str">
        <f aca="false">IF(J18="","",IF(ABS(J18)&gt;N('Audit Dashboard'!$C$4),"INVESTIGATE","OK"))</f>
        <v/>
      </c>
      <c r="O18" s="28"/>
      <c r="Q18" s="8" t="s">
        <v>82</v>
      </c>
    </row>
    <row r="19" customFormat="false" ht="15" hidden="false" customHeight="false" outlineLevel="0" collapsed="false">
      <c r="A19" s="23"/>
      <c r="B19" s="24"/>
      <c r="C19" s="24"/>
      <c r="D19" s="25"/>
      <c r="E19" s="25"/>
      <c r="F19" s="25"/>
      <c r="G19" s="25" t="str">
        <f aca="false">IF(COUNT(D19:F19)=0,"",SUM(D19:F19))</f>
        <v/>
      </c>
      <c r="H19" s="25"/>
      <c r="I19" s="25"/>
      <c r="J19" s="25" t="str">
        <f aca="false">IF(OR(H19="",I19=""),"",I19-H19)</f>
        <v/>
      </c>
      <c r="K19" s="26" t="str">
        <f aca="false">IF(OR(B19="",C19=""),"",IFERROR(C19/B19,""))</f>
        <v/>
      </c>
      <c r="L19" s="25" t="str">
        <f aca="false">IF(OR(C19="",D19=""),"",IFERROR(D19/C19,""))</f>
        <v/>
      </c>
      <c r="M19" s="25" t="str">
        <f aca="false">IF(OR(B19="",D19=""),"",IFERROR(D19/B19,""))</f>
        <v/>
      </c>
      <c r="N19" s="24" t="str">
        <f aca="false">IF(J19="","",IF(ABS(J19)&gt;N('Audit Dashboard'!$C$4),"INVESTIGATE","OK"))</f>
        <v/>
      </c>
      <c r="O19" s="24"/>
      <c r="Q19" s="6" t="s">
        <v>83</v>
      </c>
    </row>
    <row r="20" customFormat="false" ht="15" hidden="false" customHeight="false" outlineLevel="0" collapsed="false">
      <c r="A20" s="27"/>
      <c r="B20" s="28"/>
      <c r="C20" s="28"/>
      <c r="D20" s="29"/>
      <c r="E20" s="29"/>
      <c r="F20" s="29"/>
      <c r="G20" s="29" t="str">
        <f aca="false">IF(COUNT(D20:F20)=0,"",SUM(D20:F20))</f>
        <v/>
      </c>
      <c r="H20" s="29"/>
      <c r="I20" s="29"/>
      <c r="J20" s="29" t="str">
        <f aca="false">IF(OR(H20="",I20=""),"",I20-H20)</f>
        <v/>
      </c>
      <c r="K20" s="30" t="str">
        <f aca="false">IF(OR(B20="",C20=""),"",IFERROR(C20/B20,""))</f>
        <v/>
      </c>
      <c r="L20" s="29" t="str">
        <f aca="false">IF(OR(C20="",D20=""),"",IFERROR(D20/C20,""))</f>
        <v/>
      </c>
      <c r="M20" s="29" t="str">
        <f aca="false">IF(OR(B20="",D20=""),"",IFERROR(D20/B20,""))</f>
        <v/>
      </c>
      <c r="N20" s="28" t="str">
        <f aca="false">IF(J20="","",IF(ABS(J20)&gt;N('Audit Dashboard'!$C$4),"INVESTIGATE","OK"))</f>
        <v/>
      </c>
      <c r="O20" s="28"/>
      <c r="Q20" s="8" t="s">
        <v>84</v>
      </c>
    </row>
    <row r="21" customFormat="false" ht="15" hidden="false" customHeight="false" outlineLevel="0" collapsed="false">
      <c r="A21" s="23"/>
      <c r="B21" s="24"/>
      <c r="C21" s="24"/>
      <c r="D21" s="25"/>
      <c r="E21" s="25"/>
      <c r="F21" s="25"/>
      <c r="G21" s="25" t="str">
        <f aca="false">IF(COUNT(D21:F21)=0,"",SUM(D21:F21))</f>
        <v/>
      </c>
      <c r="H21" s="25"/>
      <c r="I21" s="25"/>
      <c r="J21" s="25" t="str">
        <f aca="false">IF(OR(H21="",I21=""),"",I21-H21)</f>
        <v/>
      </c>
      <c r="K21" s="26" t="str">
        <f aca="false">IF(OR(B21="",C21=""),"",IFERROR(C21/B21,""))</f>
        <v/>
      </c>
      <c r="L21" s="25" t="str">
        <f aca="false">IF(OR(C21="",D21=""),"",IFERROR(D21/C21,""))</f>
        <v/>
      </c>
      <c r="M21" s="25" t="str">
        <f aca="false">IF(OR(B21="",D21=""),"",IFERROR(D21/B21,""))</f>
        <v/>
      </c>
      <c r="N21" s="24" t="str">
        <f aca="false">IF(J21="","",IF(ABS(J21)&gt;N('Audit Dashboard'!$C$4),"INVESTIGATE","OK"))</f>
        <v/>
      </c>
      <c r="O21" s="24"/>
      <c r="Q21" s="8" t="s">
        <v>85</v>
      </c>
    </row>
    <row r="22" customFormat="false" ht="15" hidden="false" customHeight="false" outlineLevel="0" collapsed="false">
      <c r="A22" s="27"/>
      <c r="B22" s="28"/>
      <c r="C22" s="28"/>
      <c r="D22" s="29"/>
      <c r="E22" s="29"/>
      <c r="F22" s="29"/>
      <c r="G22" s="29" t="str">
        <f aca="false">IF(COUNT(D22:F22)=0,"",SUM(D22:F22))</f>
        <v/>
      </c>
      <c r="H22" s="29"/>
      <c r="I22" s="29"/>
      <c r="J22" s="29" t="str">
        <f aca="false">IF(OR(H22="",I22=""),"",I22-H22)</f>
        <v/>
      </c>
      <c r="K22" s="30" t="str">
        <f aca="false">IF(OR(B22="",C22=""),"",IFERROR(C22/B22,""))</f>
        <v/>
      </c>
      <c r="L22" s="29" t="str">
        <f aca="false">IF(OR(C22="",D22=""),"",IFERROR(D22/C22,""))</f>
        <v/>
      </c>
      <c r="M22" s="29" t="str">
        <f aca="false">IF(OR(B22="",D22=""),"",IFERROR(D22/B22,""))</f>
        <v/>
      </c>
      <c r="N22" s="28" t="str">
        <f aca="false">IF(J22="","",IF(ABS(J22)&gt;N('Audit Dashboard'!$C$4),"INVESTIGATE","OK"))</f>
        <v/>
      </c>
      <c r="O22" s="28"/>
      <c r="Q22" s="8"/>
    </row>
    <row r="23" customFormat="false" ht="15" hidden="false" customHeight="false" outlineLevel="0" collapsed="false">
      <c r="A23" s="23"/>
      <c r="B23" s="24"/>
      <c r="C23" s="24"/>
      <c r="D23" s="25"/>
      <c r="E23" s="25"/>
      <c r="F23" s="25"/>
      <c r="G23" s="25" t="str">
        <f aca="false">IF(COUNT(D23:F23)=0,"",SUM(D23:F23))</f>
        <v/>
      </c>
      <c r="H23" s="25"/>
      <c r="I23" s="25"/>
      <c r="J23" s="25" t="str">
        <f aca="false">IF(OR(H23="",I23=""),"",I23-H23)</f>
        <v/>
      </c>
      <c r="K23" s="26" t="str">
        <f aca="false">IF(OR(B23="",C23=""),"",IFERROR(C23/B23,""))</f>
        <v/>
      </c>
      <c r="L23" s="25" t="str">
        <f aca="false">IF(OR(C23="",D23=""),"",IFERROR(D23/C23,""))</f>
        <v/>
      </c>
      <c r="M23" s="25" t="str">
        <f aca="false">IF(OR(B23="",D23=""),"",IFERROR(D23/B23,""))</f>
        <v/>
      </c>
      <c r="N23" s="24" t="str">
        <f aca="false">IF(J23="","",IF(ABS(J23)&gt;N('Audit Dashboard'!$C$4),"INVESTIGATE","OK"))</f>
        <v/>
      </c>
      <c r="O23" s="24"/>
      <c r="Q23" s="6" t="s">
        <v>35</v>
      </c>
    </row>
    <row r="24" customFormat="false" ht="15" hidden="false" customHeight="false" outlineLevel="0" collapsed="false">
      <c r="A24" s="27"/>
      <c r="B24" s="28"/>
      <c r="C24" s="28"/>
      <c r="D24" s="29"/>
      <c r="E24" s="29"/>
      <c r="F24" s="29"/>
      <c r="G24" s="29" t="str">
        <f aca="false">IF(COUNT(D24:F24)=0,"",SUM(D24:F24))</f>
        <v/>
      </c>
      <c r="H24" s="29"/>
      <c r="I24" s="29"/>
      <c r="J24" s="29" t="str">
        <f aca="false">IF(OR(H24="",I24=""),"",I24-H24)</f>
        <v/>
      </c>
      <c r="K24" s="30" t="str">
        <f aca="false">IF(OR(B24="",C24=""),"",IFERROR(C24/B24,""))</f>
        <v/>
      </c>
      <c r="L24" s="29" t="str">
        <f aca="false">IF(OR(C24="",D24=""),"",IFERROR(D24/C24,""))</f>
        <v/>
      </c>
      <c r="M24" s="29" t="str">
        <f aca="false">IF(OR(B24="",D24=""),"",IFERROR(D24/B24,""))</f>
        <v/>
      </c>
      <c r="N24" s="28" t="str">
        <f aca="false">IF(J24="","",IF(ABS(J24)&gt;N('Audit Dashboard'!$C$4),"INVESTIGATE","OK"))</f>
        <v/>
      </c>
      <c r="O24" s="28"/>
      <c r="Q24" s="8" t="s">
        <v>37</v>
      </c>
    </row>
    <row r="25" customFormat="false" ht="15" hidden="false" customHeight="false" outlineLevel="0" collapsed="false">
      <c r="A25" s="23"/>
      <c r="B25" s="24"/>
      <c r="C25" s="24"/>
      <c r="D25" s="25"/>
      <c r="E25" s="25"/>
      <c r="F25" s="25"/>
      <c r="G25" s="25" t="str">
        <f aca="false">IF(COUNT(D25:F25)=0,"",SUM(D25:F25))</f>
        <v/>
      </c>
      <c r="H25" s="25"/>
      <c r="I25" s="25"/>
      <c r="J25" s="25" t="str">
        <f aca="false">IF(OR(H25="",I25=""),"",I25-H25)</f>
        <v/>
      </c>
      <c r="K25" s="26" t="str">
        <f aca="false">IF(OR(B25="",C25=""),"",IFERROR(C25/B25,""))</f>
        <v/>
      </c>
      <c r="L25" s="25" t="str">
        <f aca="false">IF(OR(C25="",D25=""),"",IFERROR(D25/C25,""))</f>
        <v/>
      </c>
      <c r="M25" s="25" t="str">
        <f aca="false">IF(OR(B25="",D25=""),"",IFERROR(D25/B25,""))</f>
        <v/>
      </c>
      <c r="N25" s="24" t="str">
        <f aca="false">IF(J25="","",IF(ABS(J25)&gt;N('Audit Dashboard'!$C$4),"INVESTIGATE","OK"))</f>
        <v/>
      </c>
      <c r="O25" s="24"/>
      <c r="Q25" s="8" t="s">
        <v>41</v>
      </c>
    </row>
    <row r="26" customFormat="false" ht="15" hidden="false" customHeight="false" outlineLevel="0" collapsed="false">
      <c r="A26" s="27"/>
      <c r="B26" s="28"/>
      <c r="C26" s="28"/>
      <c r="D26" s="29"/>
      <c r="E26" s="29"/>
      <c r="F26" s="29"/>
      <c r="G26" s="29" t="str">
        <f aca="false">IF(COUNT(D26:F26)=0,"",SUM(D26:F26))</f>
        <v/>
      </c>
      <c r="H26" s="29"/>
      <c r="I26" s="29"/>
      <c r="J26" s="29" t="str">
        <f aca="false">IF(OR(H26="",I26=""),"",I26-H26)</f>
        <v/>
      </c>
      <c r="K26" s="30" t="str">
        <f aca="false">IF(OR(B26="",C26=""),"",IFERROR(C26/B26,""))</f>
        <v/>
      </c>
      <c r="L26" s="29" t="str">
        <f aca="false">IF(OR(C26="",D26=""),"",IFERROR(D26/C26,""))</f>
        <v/>
      </c>
      <c r="M26" s="29" t="str">
        <f aca="false">IF(OR(B26="",D26=""),"",IFERROR(D26/B26,""))</f>
        <v/>
      </c>
      <c r="N26" s="28" t="str">
        <f aca="false">IF(J26="","",IF(ABS(J26)&gt;N('Audit Dashboard'!$C$4),"INVESTIGATE","OK"))</f>
        <v/>
      </c>
      <c r="O26" s="28"/>
      <c r="Q26" s="8" t="s">
        <v>44</v>
      </c>
    </row>
    <row r="27" customFormat="false" ht="15" hidden="false" customHeight="false" outlineLevel="0" collapsed="false">
      <c r="A27" s="23"/>
      <c r="B27" s="24"/>
      <c r="C27" s="24"/>
      <c r="D27" s="25"/>
      <c r="E27" s="25"/>
      <c r="F27" s="25"/>
      <c r="G27" s="25" t="str">
        <f aca="false">IF(COUNT(D27:F27)=0,"",SUM(D27:F27))</f>
        <v/>
      </c>
      <c r="H27" s="25"/>
      <c r="I27" s="25"/>
      <c r="J27" s="25" t="str">
        <f aca="false">IF(OR(H27="",I27=""),"",I27-H27)</f>
        <v/>
      </c>
      <c r="K27" s="26" t="str">
        <f aca="false">IF(OR(B27="",C27=""),"",IFERROR(C27/B27,""))</f>
        <v/>
      </c>
      <c r="L27" s="25" t="str">
        <f aca="false">IF(OR(C27="",D27=""),"",IFERROR(D27/C27,""))</f>
        <v/>
      </c>
      <c r="M27" s="25" t="str">
        <f aca="false">IF(OR(B27="",D27=""),"",IFERROR(D27/B27,""))</f>
        <v/>
      </c>
      <c r="N27" s="24" t="str">
        <f aca="false">IF(J27="","",IF(ABS(J27)&gt;N('Audit Dashboard'!$C$4),"INVESTIGATE","OK"))</f>
        <v/>
      </c>
      <c r="O27" s="24"/>
      <c r="Q27" s="19" t="s">
        <v>46</v>
      </c>
    </row>
    <row r="28" customFormat="false" ht="15" hidden="false" customHeight="false" outlineLevel="0" collapsed="false">
      <c r="A28" s="27"/>
      <c r="B28" s="28"/>
      <c r="C28" s="28"/>
      <c r="D28" s="29"/>
      <c r="E28" s="29"/>
      <c r="F28" s="29"/>
      <c r="G28" s="29" t="str">
        <f aca="false">IF(COUNT(D28:F28)=0,"",SUM(D28:F28))</f>
        <v/>
      </c>
      <c r="H28" s="29"/>
      <c r="I28" s="29"/>
      <c r="J28" s="29" t="str">
        <f aca="false">IF(OR(H28="",I28=""),"",I28-H28)</f>
        <v/>
      </c>
      <c r="K28" s="30" t="str">
        <f aca="false">IF(OR(B28="",C28=""),"",IFERROR(C28/B28,""))</f>
        <v/>
      </c>
      <c r="L28" s="29" t="str">
        <f aca="false">IF(OR(C28="",D28=""),"",IFERROR(D28/C28,""))</f>
        <v/>
      </c>
      <c r="M28" s="29" t="str">
        <f aca="false">IF(OR(B28="",D28=""),"",IFERROR(D28/B28,""))</f>
        <v/>
      </c>
      <c r="N28" s="28" t="str">
        <f aca="false">IF(J28="","",IF(ABS(J28)&gt;N('Audit Dashboard'!$C$4),"INVESTIGATE","OK"))</f>
        <v/>
      </c>
      <c r="O28" s="28"/>
    </row>
    <row r="29" customFormat="false" ht="15" hidden="false" customHeight="false" outlineLevel="0" collapsed="false">
      <c r="A29" s="23"/>
      <c r="B29" s="24"/>
      <c r="C29" s="24"/>
      <c r="D29" s="25"/>
      <c r="E29" s="25"/>
      <c r="F29" s="25"/>
      <c r="G29" s="25" t="str">
        <f aca="false">IF(COUNT(D29:F29)=0,"",SUM(D29:F29))</f>
        <v/>
      </c>
      <c r="H29" s="25"/>
      <c r="I29" s="25"/>
      <c r="J29" s="25" t="str">
        <f aca="false">IF(OR(H29="",I29=""),"",I29-H29)</f>
        <v/>
      </c>
      <c r="K29" s="26" t="str">
        <f aca="false">IF(OR(B29="",C29=""),"",IFERROR(C29/B29,""))</f>
        <v/>
      </c>
      <c r="L29" s="25" t="str">
        <f aca="false">IF(OR(C29="",D29=""),"",IFERROR(D29/C29,""))</f>
        <v/>
      </c>
      <c r="M29" s="25" t="str">
        <f aca="false">IF(OR(B29="",D29=""),"",IFERROR(D29/B29,""))</f>
        <v/>
      </c>
      <c r="N29" s="24" t="str">
        <f aca="false">IF(J29="","",IF(ABS(J29)&gt;N('Audit Dashboard'!$C$4),"INVESTIGATE","OK"))</f>
        <v/>
      </c>
      <c r="O29" s="24"/>
    </row>
    <row r="30" customFormat="false" ht="15" hidden="false" customHeight="false" outlineLevel="0" collapsed="false">
      <c r="A30" s="27"/>
      <c r="B30" s="28"/>
      <c r="C30" s="28"/>
      <c r="D30" s="29"/>
      <c r="E30" s="29"/>
      <c r="F30" s="29"/>
      <c r="G30" s="29" t="str">
        <f aca="false">IF(COUNT(D30:F30)=0,"",SUM(D30:F30))</f>
        <v/>
      </c>
      <c r="H30" s="29"/>
      <c r="I30" s="29"/>
      <c r="J30" s="29" t="str">
        <f aca="false">IF(OR(H30="",I30=""),"",I30-H30)</f>
        <v/>
      </c>
      <c r="K30" s="30" t="str">
        <f aca="false">IF(OR(B30="",C30=""),"",IFERROR(C30/B30,""))</f>
        <v/>
      </c>
      <c r="L30" s="29" t="str">
        <f aca="false">IF(OR(C30="",D30=""),"",IFERROR(D30/C30,""))</f>
        <v/>
      </c>
      <c r="M30" s="29" t="str">
        <f aca="false">IF(OR(B30="",D30=""),"",IFERROR(D30/B30,""))</f>
        <v/>
      </c>
      <c r="N30" s="28" t="str">
        <f aca="false">IF(J30="","",IF(ABS(J30)&gt;N('Audit Dashboard'!$C$4),"INVESTIGATE","OK"))</f>
        <v/>
      </c>
      <c r="O30" s="28"/>
    </row>
    <row r="31" customFormat="false" ht="15" hidden="false" customHeight="false" outlineLevel="0" collapsed="false">
      <c r="A31" s="23"/>
      <c r="B31" s="24"/>
      <c r="C31" s="24"/>
      <c r="D31" s="25"/>
      <c r="E31" s="25"/>
      <c r="F31" s="25"/>
      <c r="G31" s="25" t="str">
        <f aca="false">IF(COUNT(D31:F31)=0,"",SUM(D31:F31))</f>
        <v/>
      </c>
      <c r="H31" s="25"/>
      <c r="I31" s="25"/>
      <c r="J31" s="25" t="str">
        <f aca="false">IF(OR(H31="",I31=""),"",I31-H31)</f>
        <v/>
      </c>
      <c r="K31" s="26" t="str">
        <f aca="false">IF(OR(B31="",C31=""),"",IFERROR(C31/B31,""))</f>
        <v/>
      </c>
      <c r="L31" s="25" t="str">
        <f aca="false">IF(OR(C31="",D31=""),"",IFERROR(D31/C31,""))</f>
        <v/>
      </c>
      <c r="M31" s="25" t="str">
        <f aca="false">IF(OR(B31="",D31=""),"",IFERROR(D31/B31,""))</f>
        <v/>
      </c>
      <c r="N31" s="24" t="str">
        <f aca="false">IF(J31="","",IF(ABS(J31)&gt;N('Audit Dashboard'!$C$4),"INVESTIGATE","OK"))</f>
        <v/>
      </c>
      <c r="O31" s="24"/>
    </row>
    <row r="32" customFormat="false" ht="15" hidden="false" customHeight="false" outlineLevel="0" collapsed="false">
      <c r="A32" s="27"/>
      <c r="B32" s="28"/>
      <c r="C32" s="28"/>
      <c r="D32" s="29"/>
      <c r="E32" s="29"/>
      <c r="F32" s="29"/>
      <c r="G32" s="29" t="str">
        <f aca="false">IF(COUNT(D32:F32)=0,"",SUM(D32:F32))</f>
        <v/>
      </c>
      <c r="H32" s="29"/>
      <c r="I32" s="29"/>
      <c r="J32" s="29" t="str">
        <f aca="false">IF(OR(H32="",I32=""),"",I32-H32)</f>
        <v/>
      </c>
      <c r="K32" s="30" t="str">
        <f aca="false">IF(OR(B32="",C32=""),"",IFERROR(C32/B32,""))</f>
        <v/>
      </c>
      <c r="L32" s="29" t="str">
        <f aca="false">IF(OR(C32="",D32=""),"",IFERROR(D32/C32,""))</f>
        <v/>
      </c>
      <c r="M32" s="29" t="str">
        <f aca="false">IF(OR(B32="",D32=""),"",IFERROR(D32/B32,""))</f>
        <v/>
      </c>
      <c r="N32" s="28" t="str">
        <f aca="false">IF(J32="","",IF(ABS(J32)&gt;N('Audit Dashboard'!$C$4),"INVESTIGATE","OK"))</f>
        <v/>
      </c>
      <c r="O32" s="28"/>
    </row>
    <row r="33" customFormat="false" ht="15" hidden="false" customHeight="false" outlineLevel="0" collapsed="false">
      <c r="A33" s="23"/>
      <c r="B33" s="24"/>
      <c r="C33" s="24"/>
      <c r="D33" s="25"/>
      <c r="E33" s="25"/>
      <c r="F33" s="25"/>
      <c r="G33" s="25" t="str">
        <f aca="false">IF(COUNT(D33:F33)=0,"",SUM(D33:F33))</f>
        <v/>
      </c>
      <c r="H33" s="25"/>
      <c r="I33" s="25"/>
      <c r="J33" s="25" t="str">
        <f aca="false">IF(OR(H33="",I33=""),"",I33-H33)</f>
        <v/>
      </c>
      <c r="K33" s="26" t="str">
        <f aca="false">IF(OR(B33="",C33=""),"",IFERROR(C33/B33,""))</f>
        <v/>
      </c>
      <c r="L33" s="25" t="str">
        <f aca="false">IF(OR(C33="",D33=""),"",IFERROR(D33/C33,""))</f>
        <v/>
      </c>
      <c r="M33" s="25" t="str">
        <f aca="false">IF(OR(B33="",D33=""),"",IFERROR(D33/B33,""))</f>
        <v/>
      </c>
      <c r="N33" s="24" t="str">
        <f aca="false">IF(J33="","",IF(ABS(J33)&gt;N('Audit Dashboard'!$C$4),"INVESTIGATE","OK"))</f>
        <v/>
      </c>
      <c r="O33" s="24"/>
    </row>
    <row r="34" customFormat="false" ht="15" hidden="false" customHeight="false" outlineLevel="0" collapsed="false">
      <c r="A34" s="27"/>
      <c r="B34" s="28"/>
      <c r="C34" s="28"/>
      <c r="D34" s="29"/>
      <c r="E34" s="29"/>
      <c r="F34" s="29"/>
      <c r="G34" s="29" t="str">
        <f aca="false">IF(COUNT(D34:F34)=0,"",SUM(D34:F34))</f>
        <v/>
      </c>
      <c r="H34" s="29"/>
      <c r="I34" s="29"/>
      <c r="J34" s="29" t="str">
        <f aca="false">IF(OR(H34="",I34=""),"",I34-H34)</f>
        <v/>
      </c>
      <c r="K34" s="30" t="str">
        <f aca="false">IF(OR(B34="",C34=""),"",IFERROR(C34/B34,""))</f>
        <v/>
      </c>
      <c r="L34" s="29" t="str">
        <f aca="false">IF(OR(C34="",D34=""),"",IFERROR(D34/C34,""))</f>
        <v/>
      </c>
      <c r="M34" s="29" t="str">
        <f aca="false">IF(OR(B34="",D34=""),"",IFERROR(D34/B34,""))</f>
        <v/>
      </c>
      <c r="N34" s="28" t="str">
        <f aca="false">IF(J34="","",IF(ABS(J34)&gt;N('Audit Dashboard'!$C$4),"INVESTIGATE","OK"))</f>
        <v/>
      </c>
      <c r="O34" s="28"/>
    </row>
    <row r="35" customFormat="false" ht="15" hidden="false" customHeight="false" outlineLevel="0" collapsed="false">
      <c r="A35" s="23"/>
      <c r="B35" s="24"/>
      <c r="C35" s="24"/>
      <c r="D35" s="25"/>
      <c r="E35" s="25"/>
      <c r="F35" s="25"/>
      <c r="G35" s="25" t="str">
        <f aca="false">IF(COUNT(D35:F35)=0,"",SUM(D35:F35))</f>
        <v/>
      </c>
      <c r="H35" s="25"/>
      <c r="I35" s="25"/>
      <c r="J35" s="25" t="str">
        <f aca="false">IF(OR(H35="",I35=""),"",I35-H35)</f>
        <v/>
      </c>
      <c r="K35" s="26" t="str">
        <f aca="false">IF(OR(B35="",C35=""),"",IFERROR(C35/B35,""))</f>
        <v/>
      </c>
      <c r="L35" s="25" t="str">
        <f aca="false">IF(OR(C35="",D35=""),"",IFERROR(D35/C35,""))</f>
        <v/>
      </c>
      <c r="M35" s="25" t="str">
        <f aca="false">IF(OR(B35="",D35=""),"",IFERROR(D35/B35,""))</f>
        <v/>
      </c>
      <c r="N35" s="24" t="str">
        <f aca="false">IF(J35="","",IF(ABS(J35)&gt;N('Audit Dashboard'!$C$4),"INVESTIGATE","OK"))</f>
        <v/>
      </c>
      <c r="O35" s="24"/>
    </row>
  </sheetData>
  <conditionalFormatting sqref="N5:N35">
    <cfRule type="cellIs" priority="2" operator="equal" aboveAverage="0" equalAverage="0" bottom="0" percent="0" rank="0" text="" dxfId="1">
      <formula>"INVESTIGATE"</formula>
    </cfRule>
    <cfRule type="cellIs" priority="3" operator="equal" aboveAverage="0" equalAverage="0" bottom="0" percent="0" rank="0" text="" dxfId="0">
      <formula>"OK"</formula>
    </cfRule>
  </conditionalFormatting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2026-09-30T02:43:12Z</dcterms:created>
  <dc:creator>openpyxl</dc:creator>
  <dc:description/>
  <dc:language>en-US</dc:language>
  <cp:lastModifiedBy/>
  <dcterms:modified xsi:type="dcterms:W3CDTF">2026-09-30T02:43:12Z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