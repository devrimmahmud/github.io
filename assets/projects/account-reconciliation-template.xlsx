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nciliation" sheetId="1" state="visible" r:id="rId3"/>
    <sheet name="Bank Statement" sheetId="2" state="visible" r:id="rId4"/>
    <sheet name="General Ledger" sheetId="3" state="visible" r:id="rId5"/>
    <sheet name="Suspense Log" sheetId="4" state="visible" r:id="rId6"/>
  </sheets>
  <definedNames>
    <definedName function="false" hidden="false" localSheetId="1" name="_xlnm.Print_Area" vbProcedure="false">'Bank Statement'!$A$1:$G$40</definedName>
    <definedName function="false" hidden="false" localSheetId="2" name="_xlnm.Print_Area" vbProcedure="false">'General Ledger'!$A$1:$G$40</definedName>
    <definedName function="false" hidden="false" localSheetId="0" name="_xlnm.Print_Area" vbProcedure="false">Reconciliation!$A$1:$G$25</definedName>
    <definedName function="false" hidden="false" localSheetId="3" name="_xlnm.Print_Area" vbProcedure="false">'Suspense Log'!$A$1:$L$40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<sst xmlns="http://schemas.openxmlformats.org/spreadsheetml/2006/main" count="109" uniqueCount="76">
  <si>
    <t xml:space="preserve">Account Reconciliation Summary</t>
  </si>
  <si>
    <t xml:space="preserve">TEMPLATE  |  Created by Tahsin Devrim Mahmud  |  Contains no real or confidential data</t>
  </si>
  <si>
    <t xml:space="preserve">Account name</t>
  </si>
  <si>
    <t xml:space="preserve">Period end date</t>
  </si>
  <si>
    <t xml:space="preserve">HOW TO RECONCILE</t>
  </si>
  <si>
    <t xml:space="preserve">STEP BY STEP:</t>
  </si>
  <si>
    <t xml:space="preserve">BANK SIDE</t>
  </si>
  <si>
    <t xml:space="preserve">Amount</t>
  </si>
  <si>
    <t xml:space="preserve">BOOK (LEDGER) SIDE</t>
  </si>
  <si>
    <t xml:space="preserve">  Enter the account name and period end date at the top.</t>
  </si>
  <si>
    <t xml:space="preserve">Balance per bank statement</t>
  </si>
  <si>
    <t xml:space="preserve">Balance per general ledger</t>
  </si>
  <si>
    <t xml:space="preserve">  Enter the closing balance from the bank statement and ledger.</t>
  </si>
  <si>
    <t xml:space="preserve">Add: deposits in transit</t>
  </si>
  <si>
    <t xml:space="preserve">Add: bank credits not yet recorded</t>
  </si>
  <si>
    <t xml:space="preserve">  Fill the Bank Statement and General Ledger tabs.</t>
  </si>
  <si>
    <t xml:space="preserve">Less: outstanding cheques / payments</t>
  </si>
  <si>
    <t xml:space="preserve">Less: bank charges not yet recorded</t>
  </si>
  <si>
    <t xml:space="preserve">  Unmatched items are sorted automatically:</t>
  </si>
  <si>
    <t xml:space="preserve">Adjusted bank balance</t>
  </si>
  <si>
    <t xml:space="preserve">Adjusted book balance</t>
  </si>
  <si>
    <t xml:space="preserve">    ledger items not on the bank = in transit / outstanding</t>
  </si>
  <si>
    <t xml:space="preserve">    bank items not in the ledger = entries still to record</t>
  </si>
  <si>
    <t xml:space="preserve">Difference</t>
  </si>
  <si>
    <t xml:space="preserve">Status</t>
  </si>
  <si>
    <t xml:space="preserve">  Status turns green and reads RECONCILED when both sides agree.</t>
  </si>
  <si>
    <t xml:space="preserve">SUSPENSE ITEMS:</t>
  </si>
  <si>
    <t xml:space="preserve">SUSPENSE ACCOUNT STATUS</t>
  </si>
  <si>
    <t xml:space="preserve">SIGN-OFF</t>
  </si>
  <si>
    <t xml:space="preserve">  Log any payment that can't be applied on the Suspense Log tab,</t>
  </si>
  <si>
    <t xml:space="preserve">Open suspense items</t>
  </si>
  <si>
    <t xml:space="preserve">Prepared by</t>
  </si>
  <si>
    <t xml:space="preserve">  with the reason and the action taken. Enter a cleared date</t>
  </si>
  <si>
    <t xml:space="preserve">Open suspense balance</t>
  </si>
  <si>
    <t xml:space="preserve">Date prepared</t>
  </si>
  <si>
    <t xml:space="preserve">  once it is applied; the summary tracks what is still open.</t>
  </si>
  <si>
    <t xml:space="preserve">Oldest open item (days)</t>
  </si>
  <si>
    <t xml:space="preserve">Reviewed by</t>
  </si>
  <si>
    <t xml:space="preserve">BEFORE SIGN-OFF:</t>
  </si>
  <si>
    <t xml:space="preserve">Items cleared</t>
  </si>
  <si>
    <t xml:space="preserve">Date reviewed</t>
  </si>
  <si>
    <t xml:space="preserve">  Book journal entries for bank-only items, attach support,</t>
  </si>
  <si>
    <t xml:space="preserve">  then complete Prepared by / Reviewed by.</t>
  </si>
  <si>
    <t xml:space="preserve">COLOUR LEGEND</t>
  </si>
  <si>
    <t xml:space="preserve">  Pink column header  =  you type in this column</t>
  </si>
  <si>
    <t xml:space="preserve">  Navy column header  =  calculates automatically (do not overwrite)</t>
  </si>
  <si>
    <t xml:space="preserve">  Yellow cell  =  a setting you choose</t>
  </si>
  <si>
    <t xml:space="preserve">  Green / amber / red highlights  =  status flags</t>
  </si>
  <si>
    <t xml:space="preserve">Bank Statement</t>
  </si>
  <si>
    <t xml:space="preserve">Date</t>
  </si>
  <si>
    <t xml:space="preserve">Reference</t>
  </si>
  <si>
    <t xml:space="preserve">Description</t>
  </si>
  <si>
    <t xml:space="preserve">Amount (+ in / − out)</t>
  </si>
  <si>
    <t xml:space="preserve">Matched?</t>
  </si>
  <si>
    <t xml:space="preserve">HOW TO FILL THIS TAB</t>
  </si>
  <si>
    <t xml:space="preserve">  Paste or type every transaction for the period.</t>
  </si>
  <si>
    <t xml:space="preserve">  Use the same Reference on both tabs (cheque #, deposit ID).</t>
  </si>
  <si>
    <t xml:space="preserve">  Money in is positive; money out is negative.</t>
  </si>
  <si>
    <t xml:space="preserve">  Matched? = Yes when the same Reference AND Amount appear</t>
  </si>
  <si>
    <t xml:space="preserve">  on the other tab. Red rows are reconciling items.</t>
  </si>
  <si>
    <t xml:space="preserve">General Ledger (Cash Account)</t>
  </si>
  <si>
    <t xml:space="preserve">Suspense &amp; Unapplied Payments Log</t>
  </si>
  <si>
    <t xml:space="preserve">Date Received</t>
  </si>
  <si>
    <t xml:space="preserve">Payer / Account</t>
  </si>
  <si>
    <t xml:space="preserve">Reason Unapplied</t>
  </si>
  <si>
    <t xml:space="preserve">Action Taken</t>
  </si>
  <si>
    <t xml:space="preserve">Owner</t>
  </si>
  <si>
    <t xml:space="preserve">Date Cleared</t>
  </si>
  <si>
    <t xml:space="preserve">Days Open</t>
  </si>
  <si>
    <t xml:space="preserve">HOW TO USE THE SUSPENSE LOG</t>
  </si>
  <si>
    <t xml:space="preserve">  Log every payment that can't be applied to an account.</t>
  </si>
  <si>
    <t xml:space="preserve">  Choose the reason from the drop-down list.</t>
  </si>
  <si>
    <t xml:space="preserve">  Record each action taken (e.g. contacted payer, requested</t>
  </si>
  <si>
    <t xml:space="preserve">  remittance details) and who owns the follow-up.</t>
  </si>
  <si>
    <t xml:space="preserve">  Enter the Date Cleared once the payment is applied.</t>
  </si>
  <si>
    <t xml:space="preserve">  Days Open counts up automatically until the item is cleared.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</si>
</sst>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&quot;($&quot;#,##0.00\);\-"/>
    <numFmt numFmtId="167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118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E31B6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59D"/>
        <bgColor rgb="FFFFE0B2"/>
      </patternFill>
    </fill>
    <fill>
      <patternFill patternType="solid">
        <fgColor rgb="FFE31B6D"/>
        <bgColor rgb="FF993366"/>
      </patternFill>
    </fill>
    <fill>
      <patternFill patternType="solid">
        <fgColor rgb="FFFDF0F5"/>
        <bgColor rgb="FFF6F7F9"/>
      </patternFill>
    </fill>
    <fill>
      <patternFill patternType="solid">
        <fgColor rgb="FF111821"/>
        <bgColor rgb="FF000000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74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B3" s="4"/>
      <c r="D3" s="3" t="s">
        <v>3</v>
      </c>
      <c r="E3" s="5"/>
      <c r="G3" s="6" t="s">
        <v>4</v>
      </c>
    </row>
    <row r="4" customFormat="false" ht="15" hidden="false" customHeight="false" outlineLevel="0" collapsed="false">
      <c r="G4" s="7" t="s">
        <v>5</v>
      </c>
    </row>
    <row r="5" customFormat="false" ht="15" hidden="false" customHeight="false" outlineLevel="0" collapsed="false">
      <c r="A5" s="8" t="s">
        <v>6</v>
      </c>
      <c r="B5" s="8" t="s">
        <v>7</v>
      </c>
      <c r="D5" s="8" t="s">
        <v>8</v>
      </c>
      <c r="E5" s="8" t="s">
        <v>7</v>
      </c>
      <c r="G5" s="9" t="s">
        <v>9</v>
      </c>
    </row>
    <row r="6" customFormat="false" ht="15" hidden="false" customHeight="false" outlineLevel="0" collapsed="false">
      <c r="A6" s="10" t="s">
        <v>10</v>
      </c>
      <c r="B6" s="11"/>
      <c r="D6" s="10" t="s">
        <v>11</v>
      </c>
      <c r="E6" s="11"/>
      <c r="G6" s="9" t="s">
        <v>12</v>
      </c>
    </row>
    <row r="7" customFormat="false" ht="15" hidden="false" customHeight="false" outlineLevel="0" collapsed="false">
      <c r="A7" s="10" t="s">
        <v>13</v>
      </c>
      <c r="B7" s="12" t="n">
        <f aca="false">SUMIFS('General Ledger'!$D$5:$D$104,'General Ledger'!$E$5:$E$104,"No",'General Ledger'!$D$5:$D$104,"&gt;0")</f>
        <v>0</v>
      </c>
      <c r="D7" s="10" t="s">
        <v>14</v>
      </c>
      <c r="E7" s="12" t="n">
        <f aca="false">SUMIFS('Bank Statement'!$D$5:$D$104,'Bank Statement'!$E$5:$E$104,"No",'Bank Statement'!$D$5:$D$104,"&gt;0")</f>
        <v>0</v>
      </c>
      <c r="G7" s="9" t="s">
        <v>15</v>
      </c>
    </row>
    <row r="8" customFormat="false" ht="15" hidden="false" customHeight="false" outlineLevel="0" collapsed="false">
      <c r="A8" s="10" t="s">
        <v>16</v>
      </c>
      <c r="B8" s="12" t="n">
        <f aca="false">SUMIFS('General Ledger'!$D$5:$D$104,'General Ledger'!$E$5:$E$104,"No",'General Ledger'!$D$5:$D$104,"&lt;0")</f>
        <v>0</v>
      </c>
      <c r="D8" s="10" t="s">
        <v>17</v>
      </c>
      <c r="E8" s="12" t="n">
        <f aca="false">SUMIFS('Bank Statement'!$D$5:$D$104,'Bank Statement'!$E$5:$E$104,"No",'Bank Statement'!$D$5:$D$104,"&lt;0")</f>
        <v>0</v>
      </c>
      <c r="G8" s="9" t="s">
        <v>18</v>
      </c>
    </row>
    <row r="9" customFormat="false" ht="15" hidden="false" customHeight="false" outlineLevel="0" collapsed="false">
      <c r="A9" s="13" t="s">
        <v>19</v>
      </c>
      <c r="B9" s="14" t="n">
        <f aca="false">N(B6)+B7+B8</f>
        <v>0</v>
      </c>
      <c r="D9" s="13" t="s">
        <v>20</v>
      </c>
      <c r="E9" s="14" t="n">
        <f aca="false">N(E6)+E7+E8</f>
        <v>0</v>
      </c>
      <c r="G9" s="9" t="s">
        <v>21</v>
      </c>
    </row>
    <row r="10" customFormat="false" ht="15" hidden="false" customHeight="false" outlineLevel="0" collapsed="false">
      <c r="G10" s="9" t="s">
        <v>22</v>
      </c>
    </row>
    <row r="11" customFormat="false" ht="15" hidden="false" customHeight="false" outlineLevel="0" collapsed="false">
      <c r="A11" s="3" t="s">
        <v>23</v>
      </c>
      <c r="B11" s="15" t="str">
        <f aca="false">IF(AND(B6="",E6=""),"",ROUND(B9-E9,2))</f>
        <v/>
      </c>
      <c r="D11" s="3" t="s">
        <v>24</v>
      </c>
      <c r="E11" s="16" t="str">
        <f aca="false">IF(B11="","Enter balances",IF(B11=0,"RECONCILED","INVESTIGATE"))</f>
        <v>Enter balances</v>
      </c>
      <c r="G11" s="9" t="s">
        <v>25</v>
      </c>
    </row>
    <row r="12" customFormat="false" ht="15" hidden="false" customHeight="false" outlineLevel="0" collapsed="false">
      <c r="G12" s="7" t="s">
        <v>26</v>
      </c>
    </row>
    <row r="13" customFormat="false" ht="15" hidden="false" customHeight="false" outlineLevel="0" collapsed="false">
      <c r="A13" s="17" t="s">
        <v>27</v>
      </c>
      <c r="D13" s="17" t="s">
        <v>28</v>
      </c>
      <c r="G13" s="9" t="s">
        <v>29</v>
      </c>
    </row>
    <row r="14" customFormat="false" ht="15" hidden="false" customHeight="false" outlineLevel="0" collapsed="false">
      <c r="A14" s="18" t="s">
        <v>30</v>
      </c>
      <c r="B14" s="19" t="n">
        <f aca="false">COUNTIF('Suspense Log'!$I$5:$I$104,"Open")</f>
        <v>0</v>
      </c>
      <c r="D14" s="18" t="s">
        <v>31</v>
      </c>
      <c r="E14" s="4"/>
      <c r="G14" s="9" t="s">
        <v>32</v>
      </c>
    </row>
    <row r="15" customFormat="false" ht="15" hidden="false" customHeight="false" outlineLevel="0" collapsed="false">
      <c r="A15" s="18" t="s">
        <v>33</v>
      </c>
      <c r="B15" s="14" t="n">
        <f aca="false">SUMIFS('Suspense Log'!$D$5:$D$104,'Suspense Log'!$I$5:$I$104,"Open")</f>
        <v>0</v>
      </c>
      <c r="D15" s="18" t="s">
        <v>34</v>
      </c>
      <c r="E15" s="4"/>
      <c r="G15" s="9" t="s">
        <v>35</v>
      </c>
    </row>
    <row r="16" customFormat="false" ht="15" hidden="false" customHeight="false" outlineLevel="0" collapsed="false">
      <c r="A16" s="18" t="s">
        <v>36</v>
      </c>
      <c r="B16" s="19" t="n">
        <f aca="false">MAX('Suspense Log'!$J$5:$J$104)</f>
        <v>0</v>
      </c>
      <c r="D16" s="18" t="s">
        <v>37</v>
      </c>
      <c r="E16" s="4"/>
      <c r="G16" s="7" t="s">
        <v>38</v>
      </c>
    </row>
    <row r="17" customFormat="false" ht="15" hidden="false" customHeight="false" outlineLevel="0" collapsed="false">
      <c r="A17" s="18" t="s">
        <v>39</v>
      </c>
      <c r="B17" s="19" t="n">
        <f aca="false">COUNTIF('Suspense Log'!$I$5:$I$104,"Cleared")</f>
        <v>0</v>
      </c>
      <c r="D17" s="18" t="s">
        <v>40</v>
      </c>
      <c r="E17" s="4"/>
      <c r="G17" s="9" t="s">
        <v>41</v>
      </c>
    </row>
    <row r="18" customFormat="false" ht="15" hidden="false" customHeight="false" outlineLevel="0" collapsed="false">
      <c r="G18" s="9" t="s">
        <v>42</v>
      </c>
    </row>
    <row r="19" customFormat="false" ht="15" hidden="false" customHeight="false" outlineLevel="0" collapsed="false">
      <c r="G19" s="9"/>
    </row>
    <row r="20" customFormat="false" ht="15" hidden="false" customHeight="false" outlineLevel="0" collapsed="false">
      <c r="G20" s="7" t="s">
        <v>43</v>
      </c>
    </row>
    <row r="21" customFormat="false" ht="15" hidden="false" customHeight="false" outlineLevel="0" collapsed="false">
      <c r="G21" s="9" t="s">
        <v>44</v>
      </c>
    </row>
    <row r="22" customFormat="false" ht="15" hidden="false" customHeight="false" outlineLevel="0" collapsed="false">
      <c r="G22" s="9" t="s">
        <v>45</v>
      </c>
    </row>
    <row r="23" customFormat="false" ht="15" hidden="false" customHeight="false" outlineLevel="0" collapsed="false">
      <c r="G23" s="9" t="s">
        <v>46</v>
      </c>
    </row>
    <row r="24" customFormat="false" ht="15" hidden="false" customHeight="false" outlineLevel="0" collapsed="false">
      <c r="G24" s="20" t="s">
        <v>47</v>
      </c>
    </row>
  </sheetData>
  <conditionalFormatting sqref="E11">
    <cfRule type="cellIs" priority="2" operator="equal" aboveAverage="0" equalAverage="0" bottom="0" percent="0" rank="0" text="" dxfId="0">
      <formula>"RECONCILED"</formula>
    </cfRule>
    <cfRule type="cellIs" priority="3" operator="equal" aboveAverage="0" equalAverage="0" bottom="0" percent="0" rank="0" text="" dxfId="1">
      <formula>"INVESTIGATE"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"/>
    <col collapsed="false" customWidth="true" hidden="false" outlineLevel="0" max="7" min="7" style="0" width="74"/>
  </cols>
  <sheetData>
    <row r="1" customFormat="false" ht="27.75" hidden="false" customHeight="true" outlineLevel="0" collapsed="false">
      <c r="A1" s="1" t="s">
        <v>48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21" t="s">
        <v>49</v>
      </c>
      <c r="B4" s="21" t="s">
        <v>50</v>
      </c>
      <c r="C4" s="21" t="s">
        <v>51</v>
      </c>
      <c r="D4" s="21" t="s">
        <v>52</v>
      </c>
      <c r="E4" s="22" t="s">
        <v>53</v>
      </c>
      <c r="G4" s="6" t="s">
        <v>54</v>
      </c>
    </row>
    <row r="5" customFormat="false" ht="15" hidden="false" customHeight="false" outlineLevel="0" collapsed="false">
      <c r="A5" s="23"/>
      <c r="B5" s="10"/>
      <c r="C5" s="10"/>
      <c r="D5" s="12"/>
      <c r="E5" s="10" t="str">
        <f aca="false">IF(B5="","",IF(COUNTIFS('General Ledger'!$B$5:$B$104,B5,'General Ledger'!$D$5:$D$104,D5)&gt;0,"Yes","No"))</f>
        <v/>
      </c>
      <c r="G5" s="9" t="s">
        <v>55</v>
      </c>
    </row>
    <row r="6" customFormat="false" ht="15" hidden="false" customHeight="false" outlineLevel="0" collapsed="false">
      <c r="A6" s="24"/>
      <c r="B6" s="25"/>
      <c r="C6" s="25"/>
      <c r="D6" s="26"/>
      <c r="E6" s="25" t="str">
        <f aca="false">IF(B6="","",IF(COUNTIFS('General Ledger'!$B$5:$B$104,B6,'General Ledger'!$D$5:$D$104,D6)&gt;0,"Yes","No"))</f>
        <v/>
      </c>
      <c r="G6" s="9" t="s">
        <v>56</v>
      </c>
    </row>
    <row r="7" customFormat="false" ht="15" hidden="false" customHeight="false" outlineLevel="0" collapsed="false">
      <c r="A7" s="23"/>
      <c r="B7" s="10"/>
      <c r="C7" s="10"/>
      <c r="D7" s="12"/>
      <c r="E7" s="10" t="str">
        <f aca="false">IF(B7="","",IF(COUNTIFS('General Ledger'!$B$5:$B$104,B7,'General Ledger'!$D$5:$D$104,D7)&gt;0,"Yes","No"))</f>
        <v/>
      </c>
      <c r="G7" s="9" t="s">
        <v>57</v>
      </c>
    </row>
    <row r="8" customFormat="false" ht="15" hidden="false" customHeight="false" outlineLevel="0" collapsed="false">
      <c r="A8" s="24"/>
      <c r="B8" s="25"/>
      <c r="C8" s="25"/>
      <c r="D8" s="26"/>
      <c r="E8" s="25" t="str">
        <f aca="false">IF(B8="","",IF(COUNTIFS('General Ledger'!$B$5:$B$104,B8,'General Ledger'!$D$5:$D$104,D8)&gt;0,"Yes","No"))</f>
        <v/>
      </c>
      <c r="G8" s="9" t="s">
        <v>58</v>
      </c>
    </row>
    <row r="9" customFormat="false" ht="15" hidden="false" customHeight="false" outlineLevel="0" collapsed="false">
      <c r="A9" s="23"/>
      <c r="B9" s="10"/>
      <c r="C9" s="10"/>
      <c r="D9" s="12"/>
      <c r="E9" s="10" t="str">
        <f aca="false">IF(B9="","",IF(COUNTIFS('General Ledger'!$B$5:$B$104,B9,'General Ledger'!$D$5:$D$104,D9)&gt;0,"Yes","No"))</f>
        <v/>
      </c>
      <c r="G9" s="9" t="s">
        <v>59</v>
      </c>
    </row>
    <row r="10" customFormat="false" ht="15" hidden="false" customHeight="false" outlineLevel="0" collapsed="false">
      <c r="A10" s="24"/>
      <c r="B10" s="25"/>
      <c r="C10" s="25"/>
      <c r="D10" s="26"/>
      <c r="E10" s="25" t="str">
        <f aca="false">IF(B10="","",IF(COUNTIFS('General Ledger'!$B$5:$B$104,B10,'General Ledger'!$D$5:$D$104,D10)&gt;0,"Yes","No"))</f>
        <v/>
      </c>
      <c r="G10" s="9"/>
    </row>
    <row r="11" customFormat="false" ht="15" hidden="false" customHeight="false" outlineLevel="0" collapsed="false">
      <c r="A11" s="23"/>
      <c r="B11" s="10"/>
      <c r="C11" s="10"/>
      <c r="D11" s="12"/>
      <c r="E11" s="10" t="str">
        <f aca="false">IF(B11="","",IF(COUNTIFS('General Ledger'!$B$5:$B$104,B11,'General Ledger'!$D$5:$D$104,D11)&gt;0,"Yes","No"))</f>
        <v/>
      </c>
      <c r="G11" s="7" t="s">
        <v>43</v>
      </c>
    </row>
    <row r="12" customFormat="false" ht="15" hidden="false" customHeight="false" outlineLevel="0" collapsed="false">
      <c r="A12" s="24"/>
      <c r="B12" s="25"/>
      <c r="C12" s="25"/>
      <c r="D12" s="26"/>
      <c r="E12" s="25" t="str">
        <f aca="false">IF(B12="","",IF(COUNTIFS('General Ledger'!$B$5:$B$104,B12,'General Ledger'!$D$5:$D$104,D12)&gt;0,"Yes","No"))</f>
        <v/>
      </c>
      <c r="G12" s="9" t="s">
        <v>44</v>
      </c>
    </row>
    <row r="13" customFormat="false" ht="15" hidden="false" customHeight="false" outlineLevel="0" collapsed="false">
      <c r="A13" s="23"/>
      <c r="B13" s="10"/>
      <c r="C13" s="10"/>
      <c r="D13" s="12"/>
      <c r="E13" s="10" t="str">
        <f aca="false">IF(B13="","",IF(COUNTIFS('General Ledger'!$B$5:$B$104,B13,'General Ledger'!$D$5:$D$104,D13)&gt;0,"Yes","No"))</f>
        <v/>
      </c>
      <c r="G13" s="9" t="s">
        <v>45</v>
      </c>
    </row>
    <row r="14" customFormat="false" ht="15" hidden="false" customHeight="false" outlineLevel="0" collapsed="false">
      <c r="A14" s="24"/>
      <c r="B14" s="25"/>
      <c r="C14" s="25"/>
      <c r="D14" s="26"/>
      <c r="E14" s="25" t="str">
        <f aca="false">IF(B14="","",IF(COUNTIFS('General Ledger'!$B$5:$B$104,B14,'General Ledger'!$D$5:$D$104,D14)&gt;0,"Yes","No"))</f>
        <v/>
      </c>
      <c r="G14" s="9" t="s">
        <v>46</v>
      </c>
    </row>
    <row r="15" customFormat="false" ht="15" hidden="false" customHeight="false" outlineLevel="0" collapsed="false">
      <c r="A15" s="23"/>
      <c r="B15" s="10"/>
      <c r="C15" s="10"/>
      <c r="D15" s="12"/>
      <c r="E15" s="10" t="str">
        <f aca="false">IF(B15="","",IF(COUNTIFS('General Ledger'!$B$5:$B$104,B15,'General Ledger'!$D$5:$D$104,D15)&gt;0,"Yes","No"))</f>
        <v/>
      </c>
      <c r="G15" s="20" t="s">
        <v>47</v>
      </c>
    </row>
    <row r="16" customFormat="false" ht="15" hidden="false" customHeight="false" outlineLevel="0" collapsed="false">
      <c r="A16" s="24"/>
      <c r="B16" s="25"/>
      <c r="C16" s="25"/>
      <c r="D16" s="26"/>
      <c r="E16" s="25" t="str">
        <f aca="false">IF(B16="","",IF(COUNTIFS('General Ledger'!$B$5:$B$104,B16,'General Ledger'!$D$5:$D$104,D16)&gt;0,"Yes","No"))</f>
        <v/>
      </c>
    </row>
    <row r="17" customFormat="false" ht="15" hidden="false" customHeight="false" outlineLevel="0" collapsed="false">
      <c r="A17" s="23"/>
      <c r="B17" s="10"/>
      <c r="C17" s="10"/>
      <c r="D17" s="12"/>
      <c r="E17" s="10" t="str">
        <f aca="false">IF(B17="","",IF(COUNTIFS('General Ledger'!$B$5:$B$104,B17,'General Ledger'!$D$5:$D$104,D17)&gt;0,"Yes","No"))</f>
        <v/>
      </c>
    </row>
    <row r="18" customFormat="false" ht="15" hidden="false" customHeight="false" outlineLevel="0" collapsed="false">
      <c r="A18" s="24"/>
      <c r="B18" s="25"/>
      <c r="C18" s="25"/>
      <c r="D18" s="26"/>
      <c r="E18" s="25" t="str">
        <f aca="false">IF(B18="","",IF(COUNTIFS('General Ledger'!$B$5:$B$104,B18,'General Ledger'!$D$5:$D$104,D18)&gt;0,"Yes","No"))</f>
        <v/>
      </c>
    </row>
    <row r="19" customFormat="false" ht="15" hidden="false" customHeight="false" outlineLevel="0" collapsed="false">
      <c r="A19" s="23"/>
      <c r="B19" s="10"/>
      <c r="C19" s="10"/>
      <c r="D19" s="12"/>
      <c r="E19" s="10" t="str">
        <f aca="false">IF(B19="","",IF(COUNTIFS('General Ledger'!$B$5:$B$104,B19,'General Ledger'!$D$5:$D$104,D19)&gt;0,"Yes","No"))</f>
        <v/>
      </c>
    </row>
    <row r="20" customFormat="false" ht="15" hidden="false" customHeight="false" outlineLevel="0" collapsed="false">
      <c r="A20" s="24"/>
      <c r="B20" s="25"/>
      <c r="C20" s="25"/>
      <c r="D20" s="26"/>
      <c r="E20" s="25" t="str">
        <f aca="false">IF(B20="","",IF(COUNTIFS('General Ledger'!$B$5:$B$104,B20,'General Ledger'!$D$5:$D$104,D20)&gt;0,"Yes","No"))</f>
        <v/>
      </c>
    </row>
    <row r="21" customFormat="false" ht="15" hidden="false" customHeight="false" outlineLevel="0" collapsed="false">
      <c r="A21" s="23"/>
      <c r="B21" s="10"/>
      <c r="C21" s="10"/>
      <c r="D21" s="12"/>
      <c r="E21" s="10" t="str">
        <f aca="false">IF(B21="","",IF(COUNTIFS('General Ledger'!$B$5:$B$104,B21,'General Ledger'!$D$5:$D$104,D21)&gt;0,"Yes","No"))</f>
        <v/>
      </c>
    </row>
    <row r="22" customFormat="false" ht="15" hidden="false" customHeight="false" outlineLevel="0" collapsed="false">
      <c r="A22" s="24"/>
      <c r="B22" s="25"/>
      <c r="C22" s="25"/>
      <c r="D22" s="26"/>
      <c r="E22" s="25" t="str">
        <f aca="false">IF(B22="","",IF(COUNTIFS('General Ledger'!$B$5:$B$104,B22,'General Ledger'!$D$5:$D$104,D22)&gt;0,"Yes","No"))</f>
        <v/>
      </c>
    </row>
    <row r="23" customFormat="false" ht="15" hidden="false" customHeight="false" outlineLevel="0" collapsed="false">
      <c r="A23" s="23"/>
      <c r="B23" s="10"/>
      <c r="C23" s="10"/>
      <c r="D23" s="12"/>
      <c r="E23" s="10" t="str">
        <f aca="false">IF(B23="","",IF(COUNTIFS('General Ledger'!$B$5:$B$104,B23,'General Ledger'!$D$5:$D$104,D23)&gt;0,"Yes","No"))</f>
        <v/>
      </c>
    </row>
    <row r="24" customFormat="false" ht="15" hidden="false" customHeight="false" outlineLevel="0" collapsed="false">
      <c r="A24" s="24"/>
      <c r="B24" s="25"/>
      <c r="C24" s="25"/>
      <c r="D24" s="26"/>
      <c r="E24" s="25" t="str">
        <f aca="false">IF(B24="","",IF(COUNTIFS('General Ledger'!$B$5:$B$104,B24,'General Ledger'!$D$5:$D$104,D24)&gt;0,"Yes","No"))</f>
        <v/>
      </c>
    </row>
    <row r="25" customFormat="false" ht="15" hidden="false" customHeight="false" outlineLevel="0" collapsed="false">
      <c r="A25" s="23"/>
      <c r="B25" s="10"/>
      <c r="C25" s="10"/>
      <c r="D25" s="12"/>
      <c r="E25" s="10" t="str">
        <f aca="false">IF(B25="","",IF(COUNTIFS('General Ledger'!$B$5:$B$104,B25,'General Ledger'!$D$5:$D$104,D25)&gt;0,"Yes","No"))</f>
        <v/>
      </c>
    </row>
    <row r="26" customFormat="false" ht="15" hidden="false" customHeight="false" outlineLevel="0" collapsed="false">
      <c r="A26" s="24"/>
      <c r="B26" s="25"/>
      <c r="C26" s="25"/>
      <c r="D26" s="26"/>
      <c r="E26" s="25" t="str">
        <f aca="false">IF(B26="","",IF(COUNTIFS('General Ledger'!$B$5:$B$104,B26,'General Ledger'!$D$5:$D$104,D26)&gt;0,"Yes","No"))</f>
        <v/>
      </c>
    </row>
    <row r="27" customFormat="false" ht="15" hidden="false" customHeight="false" outlineLevel="0" collapsed="false">
      <c r="A27" s="23"/>
      <c r="B27" s="10"/>
      <c r="C27" s="10"/>
      <c r="D27" s="12"/>
      <c r="E27" s="10" t="str">
        <f aca="false">IF(B27="","",IF(COUNTIFS('General Ledger'!$B$5:$B$104,B27,'General Ledger'!$D$5:$D$104,D27)&gt;0,"Yes","No"))</f>
        <v/>
      </c>
    </row>
    <row r="28" customFormat="false" ht="15" hidden="false" customHeight="false" outlineLevel="0" collapsed="false">
      <c r="A28" s="24"/>
      <c r="B28" s="25"/>
      <c r="C28" s="25"/>
      <c r="D28" s="26"/>
      <c r="E28" s="25" t="str">
        <f aca="false">IF(B28="","",IF(COUNTIFS('General Ledger'!$B$5:$B$104,B28,'General Ledger'!$D$5:$D$104,D28)&gt;0,"Yes","No"))</f>
        <v/>
      </c>
    </row>
    <row r="29" customFormat="false" ht="15" hidden="false" customHeight="false" outlineLevel="0" collapsed="false">
      <c r="A29" s="23"/>
      <c r="B29" s="10"/>
      <c r="C29" s="10"/>
      <c r="D29" s="12"/>
      <c r="E29" s="10" t="str">
        <f aca="false">IF(B29="","",IF(COUNTIFS('General Ledger'!$B$5:$B$104,B29,'General Ledger'!$D$5:$D$104,D29)&gt;0,"Yes","No"))</f>
        <v/>
      </c>
    </row>
    <row r="30" customFormat="false" ht="15" hidden="false" customHeight="false" outlineLevel="0" collapsed="false">
      <c r="A30" s="24"/>
      <c r="B30" s="25"/>
      <c r="C30" s="25"/>
      <c r="D30" s="26"/>
      <c r="E30" s="25" t="str">
        <f aca="false">IF(B30="","",IF(COUNTIFS('General Ledger'!$B$5:$B$104,B30,'General Ledger'!$D$5:$D$104,D30)&gt;0,"Yes","No"))</f>
        <v/>
      </c>
    </row>
    <row r="31" customFormat="false" ht="15" hidden="false" customHeight="false" outlineLevel="0" collapsed="false">
      <c r="A31" s="23"/>
      <c r="B31" s="10"/>
      <c r="C31" s="10"/>
      <c r="D31" s="12"/>
      <c r="E31" s="10" t="str">
        <f aca="false">IF(B31="","",IF(COUNTIFS('General Ledger'!$B$5:$B$104,B31,'General Ledger'!$D$5:$D$104,D31)&gt;0,"Yes","No"))</f>
        <v/>
      </c>
    </row>
    <row r="32" customFormat="false" ht="15" hidden="false" customHeight="false" outlineLevel="0" collapsed="false">
      <c r="A32" s="24"/>
      <c r="B32" s="25"/>
      <c r="C32" s="25"/>
      <c r="D32" s="26"/>
      <c r="E32" s="25" t="str">
        <f aca="false">IF(B32="","",IF(COUNTIFS('General Ledger'!$B$5:$B$104,B32,'General Ledger'!$D$5:$D$104,D32)&gt;0,"Yes","No"))</f>
        <v/>
      </c>
    </row>
    <row r="33" customFormat="false" ht="15" hidden="false" customHeight="false" outlineLevel="0" collapsed="false">
      <c r="A33" s="23"/>
      <c r="B33" s="10"/>
      <c r="C33" s="10"/>
      <c r="D33" s="12"/>
      <c r="E33" s="10" t="str">
        <f aca="false">IF(B33="","",IF(COUNTIFS('General Ledger'!$B$5:$B$104,B33,'General Ledger'!$D$5:$D$104,D33)&gt;0,"Yes","No"))</f>
        <v/>
      </c>
    </row>
    <row r="34" customFormat="false" ht="15" hidden="false" customHeight="false" outlineLevel="0" collapsed="false">
      <c r="A34" s="24"/>
      <c r="B34" s="25"/>
      <c r="C34" s="25"/>
      <c r="D34" s="26"/>
      <c r="E34" s="25" t="str">
        <f aca="false">IF(B34="","",IF(COUNTIFS('General Ledger'!$B$5:$B$104,B34,'General Ledger'!$D$5:$D$104,D34)&gt;0,"Yes","No"))</f>
        <v/>
      </c>
    </row>
    <row r="35" customFormat="false" ht="15" hidden="false" customHeight="false" outlineLevel="0" collapsed="false">
      <c r="A35" s="23"/>
      <c r="B35" s="10"/>
      <c r="C35" s="10"/>
      <c r="D35" s="12"/>
      <c r="E35" s="10" t="str">
        <f aca="false">IF(B35="","",IF(COUNTIFS('General Ledger'!$B$5:$B$104,B35,'General Ledger'!$D$5:$D$104,D35)&gt;0,"Yes","No"))</f>
        <v/>
      </c>
    </row>
    <row r="36" customFormat="false" ht="15" hidden="false" customHeight="false" outlineLevel="0" collapsed="false">
      <c r="A36" s="24"/>
      <c r="B36" s="25"/>
      <c r="C36" s="25"/>
      <c r="D36" s="26"/>
      <c r="E36" s="25" t="str">
        <f aca="false">IF(B36="","",IF(COUNTIFS('General Ledger'!$B$5:$B$104,B36,'General Ledger'!$D$5:$D$104,D36)&gt;0,"Yes","No"))</f>
        <v/>
      </c>
    </row>
    <row r="37" customFormat="false" ht="15" hidden="false" customHeight="false" outlineLevel="0" collapsed="false">
      <c r="A37" s="23"/>
      <c r="B37" s="10"/>
      <c r="C37" s="10"/>
      <c r="D37" s="12"/>
      <c r="E37" s="10" t="str">
        <f aca="false">IF(B37="","",IF(COUNTIFS('General Ledger'!$B$5:$B$104,B37,'General Ledger'!$D$5:$D$104,D37)&gt;0,"Yes","No"))</f>
        <v/>
      </c>
    </row>
    <row r="38" customFormat="false" ht="15" hidden="false" customHeight="false" outlineLevel="0" collapsed="false">
      <c r="A38" s="24"/>
      <c r="B38" s="25"/>
      <c r="C38" s="25"/>
      <c r="D38" s="26"/>
      <c r="E38" s="25" t="str">
        <f aca="false">IF(B38="","",IF(COUNTIFS('General Ledger'!$B$5:$B$104,B38,'General Ledger'!$D$5:$D$104,D38)&gt;0,"Yes","No"))</f>
        <v/>
      </c>
    </row>
    <row r="39" customFormat="false" ht="15" hidden="false" customHeight="false" outlineLevel="0" collapsed="false">
      <c r="A39" s="23"/>
      <c r="B39" s="10"/>
      <c r="C39" s="10"/>
      <c r="D39" s="12"/>
      <c r="E39" s="10" t="str">
        <f aca="false">IF(B39="","",IF(COUNTIFS('General Ledger'!$B$5:$B$104,B39,'General Ledger'!$D$5:$D$104,D39)&gt;0,"Yes","No"))</f>
        <v/>
      </c>
    </row>
    <row r="40" customFormat="false" ht="15" hidden="false" customHeight="false" outlineLevel="0" collapsed="false">
      <c r="A40" s="24"/>
      <c r="B40" s="25"/>
      <c r="C40" s="25"/>
      <c r="D40" s="26"/>
      <c r="E40" s="25" t="str">
        <f aca="false">IF(B40="","",IF(COUNTIFS('General Ledger'!$B$5:$B$104,B40,'General Ledger'!$D$5:$D$104,D40)&gt;0,"Yes","No"))</f>
        <v/>
      </c>
    </row>
    <row r="41" customFormat="false" ht="15" hidden="false" customHeight="false" outlineLevel="0" collapsed="false">
      <c r="A41" s="23"/>
      <c r="B41" s="10"/>
      <c r="C41" s="10"/>
      <c r="D41" s="12"/>
      <c r="E41" s="10" t="str">
        <f aca="false">IF(B41="","",IF(COUNTIFS('General Ledger'!$B$5:$B$104,B41,'General Ledger'!$D$5:$D$104,D41)&gt;0,"Yes","No"))</f>
        <v/>
      </c>
    </row>
    <row r="42" customFormat="false" ht="15" hidden="false" customHeight="false" outlineLevel="0" collapsed="false">
      <c r="A42" s="24"/>
      <c r="B42" s="25"/>
      <c r="C42" s="25"/>
      <c r="D42" s="26"/>
      <c r="E42" s="25" t="str">
        <f aca="false">IF(B42="","",IF(COUNTIFS('General Ledger'!$B$5:$B$104,B42,'General Ledger'!$D$5:$D$104,D42)&gt;0,"Yes","No"))</f>
        <v/>
      </c>
    </row>
    <row r="43" customFormat="false" ht="15" hidden="false" customHeight="false" outlineLevel="0" collapsed="false">
      <c r="A43" s="23"/>
      <c r="B43" s="10"/>
      <c r="C43" s="10"/>
      <c r="D43" s="12"/>
      <c r="E43" s="10" t="str">
        <f aca="false">IF(B43="","",IF(COUNTIFS('General Ledger'!$B$5:$B$104,B43,'General Ledger'!$D$5:$D$104,D43)&gt;0,"Yes","No"))</f>
        <v/>
      </c>
    </row>
    <row r="44" customFormat="false" ht="15" hidden="false" customHeight="false" outlineLevel="0" collapsed="false">
      <c r="A44" s="24"/>
      <c r="B44" s="25"/>
      <c r="C44" s="25"/>
      <c r="D44" s="26"/>
      <c r="E44" s="25" t="str">
        <f aca="false">IF(B44="","",IF(COUNTIFS('General Ledger'!$B$5:$B$104,B44,'General Ledger'!$D$5:$D$104,D44)&gt;0,"Yes","No"))</f>
        <v/>
      </c>
    </row>
    <row r="45" customFormat="false" ht="15" hidden="false" customHeight="false" outlineLevel="0" collapsed="false">
      <c r="A45" s="23"/>
      <c r="B45" s="10"/>
      <c r="C45" s="10"/>
      <c r="D45" s="12"/>
      <c r="E45" s="10" t="str">
        <f aca="false">IF(B45="","",IF(COUNTIFS('General Ledger'!$B$5:$B$104,B45,'General Ledger'!$D$5:$D$104,D45)&gt;0,"Yes","No"))</f>
        <v/>
      </c>
    </row>
    <row r="46" customFormat="false" ht="15" hidden="false" customHeight="false" outlineLevel="0" collapsed="false">
      <c r="A46" s="24"/>
      <c r="B46" s="25"/>
      <c r="C46" s="25"/>
      <c r="D46" s="26"/>
      <c r="E46" s="25" t="str">
        <f aca="false">IF(B46="","",IF(COUNTIFS('General Ledger'!$B$5:$B$104,B46,'General Ledger'!$D$5:$D$104,D46)&gt;0,"Yes","No"))</f>
        <v/>
      </c>
    </row>
    <row r="47" customFormat="false" ht="15" hidden="false" customHeight="false" outlineLevel="0" collapsed="false">
      <c r="A47" s="23"/>
      <c r="B47" s="10"/>
      <c r="C47" s="10"/>
      <c r="D47" s="12"/>
      <c r="E47" s="10" t="str">
        <f aca="false">IF(B47="","",IF(COUNTIFS('General Ledger'!$B$5:$B$104,B47,'General Ledger'!$D$5:$D$104,D47)&gt;0,"Yes","No"))</f>
        <v/>
      </c>
    </row>
    <row r="48" customFormat="false" ht="15" hidden="false" customHeight="false" outlineLevel="0" collapsed="false">
      <c r="A48" s="24"/>
      <c r="B48" s="25"/>
      <c r="C48" s="25"/>
      <c r="D48" s="26"/>
      <c r="E48" s="25" t="str">
        <f aca="false">IF(B48="","",IF(COUNTIFS('General Ledger'!$B$5:$B$104,B48,'General Ledger'!$D$5:$D$104,D48)&gt;0,"Yes","No"))</f>
        <v/>
      </c>
    </row>
    <row r="49" customFormat="false" ht="15" hidden="false" customHeight="false" outlineLevel="0" collapsed="false">
      <c r="A49" s="23"/>
      <c r="B49" s="10"/>
      <c r="C49" s="10"/>
      <c r="D49" s="12"/>
      <c r="E49" s="10" t="str">
        <f aca="false">IF(B49="","",IF(COUNTIFS('General Ledger'!$B$5:$B$104,B49,'General Ledger'!$D$5:$D$104,D49)&gt;0,"Yes","No"))</f>
        <v/>
      </c>
    </row>
    <row r="50" customFormat="false" ht="15" hidden="false" customHeight="false" outlineLevel="0" collapsed="false">
      <c r="A50" s="24"/>
      <c r="B50" s="25"/>
      <c r="C50" s="25"/>
      <c r="D50" s="26"/>
      <c r="E50" s="25" t="str">
        <f aca="false">IF(B50="","",IF(COUNTIFS('General Ledger'!$B$5:$B$104,B50,'General Ledger'!$D$5:$D$104,D50)&gt;0,"Yes","No"))</f>
        <v/>
      </c>
    </row>
    <row r="51" customFormat="false" ht="15" hidden="false" customHeight="false" outlineLevel="0" collapsed="false">
      <c r="A51" s="23"/>
      <c r="B51" s="10"/>
      <c r="C51" s="10"/>
      <c r="D51" s="12"/>
      <c r="E51" s="10" t="str">
        <f aca="false">IF(B51="","",IF(COUNTIFS('General Ledger'!$B$5:$B$104,B51,'General Ledger'!$D$5:$D$104,D51)&gt;0,"Yes","No"))</f>
        <v/>
      </c>
    </row>
    <row r="52" customFormat="false" ht="15" hidden="false" customHeight="false" outlineLevel="0" collapsed="false">
      <c r="A52" s="24"/>
      <c r="B52" s="25"/>
      <c r="C52" s="25"/>
      <c r="D52" s="26"/>
      <c r="E52" s="25" t="str">
        <f aca="false">IF(B52="","",IF(COUNTIFS('General Ledger'!$B$5:$B$104,B52,'General Ledger'!$D$5:$D$104,D52)&gt;0,"Yes","No"))</f>
        <v/>
      </c>
    </row>
    <row r="53" customFormat="false" ht="15" hidden="false" customHeight="false" outlineLevel="0" collapsed="false">
      <c r="A53" s="23"/>
      <c r="B53" s="10"/>
      <c r="C53" s="10"/>
      <c r="D53" s="12"/>
      <c r="E53" s="10" t="str">
        <f aca="false">IF(B53="","",IF(COUNTIFS('General Ledger'!$B$5:$B$104,B53,'General Ledger'!$D$5:$D$104,D53)&gt;0,"Yes","No"))</f>
        <v/>
      </c>
    </row>
    <row r="54" customFormat="false" ht="15" hidden="false" customHeight="false" outlineLevel="0" collapsed="false">
      <c r="A54" s="24"/>
      <c r="B54" s="25"/>
      <c r="C54" s="25"/>
      <c r="D54" s="26"/>
      <c r="E54" s="25" t="str">
        <f aca="false">IF(B54="","",IF(COUNTIFS('General Ledger'!$B$5:$B$104,B54,'General Ledger'!$D$5:$D$104,D54)&gt;0,"Yes","No"))</f>
        <v/>
      </c>
    </row>
    <row r="55" customFormat="false" ht="15" hidden="false" customHeight="false" outlineLevel="0" collapsed="false">
      <c r="A55" s="23"/>
      <c r="B55" s="10"/>
      <c r="C55" s="10"/>
      <c r="D55" s="12"/>
      <c r="E55" s="10" t="str">
        <f aca="false">IF(B55="","",IF(COUNTIFS('General Ledger'!$B$5:$B$104,B55,'General Ledger'!$D$5:$D$104,D55)&gt;0,"Yes","No"))</f>
        <v/>
      </c>
    </row>
    <row r="56" customFormat="false" ht="15" hidden="false" customHeight="false" outlineLevel="0" collapsed="false">
      <c r="A56" s="24"/>
      <c r="B56" s="25"/>
      <c r="C56" s="25"/>
      <c r="D56" s="26"/>
      <c r="E56" s="25" t="str">
        <f aca="false">IF(B56="","",IF(COUNTIFS('General Ledger'!$B$5:$B$104,B56,'General Ledger'!$D$5:$D$104,D56)&gt;0,"Yes","No"))</f>
        <v/>
      </c>
    </row>
    <row r="57" customFormat="false" ht="15" hidden="false" customHeight="false" outlineLevel="0" collapsed="false">
      <c r="A57" s="23"/>
      <c r="B57" s="10"/>
      <c r="C57" s="10"/>
      <c r="D57" s="12"/>
      <c r="E57" s="10" t="str">
        <f aca="false">IF(B57="","",IF(COUNTIFS('General Ledger'!$B$5:$B$104,B57,'General Ledger'!$D$5:$D$104,D57)&gt;0,"Yes","No"))</f>
        <v/>
      </c>
    </row>
    <row r="58" customFormat="false" ht="15" hidden="false" customHeight="false" outlineLevel="0" collapsed="false">
      <c r="A58" s="24"/>
      <c r="B58" s="25"/>
      <c r="C58" s="25"/>
      <c r="D58" s="26"/>
      <c r="E58" s="25" t="str">
        <f aca="false">IF(B58="","",IF(COUNTIFS('General Ledger'!$B$5:$B$104,B58,'General Ledger'!$D$5:$D$104,D58)&gt;0,"Yes","No"))</f>
        <v/>
      </c>
    </row>
    <row r="59" customFormat="false" ht="15" hidden="false" customHeight="false" outlineLevel="0" collapsed="false">
      <c r="A59" s="23"/>
      <c r="B59" s="10"/>
      <c r="C59" s="10"/>
      <c r="D59" s="12"/>
      <c r="E59" s="10" t="str">
        <f aca="false">IF(B59="","",IF(COUNTIFS('General Ledger'!$B$5:$B$104,B59,'General Ledger'!$D$5:$D$104,D59)&gt;0,"Yes","No"))</f>
        <v/>
      </c>
    </row>
    <row r="60" customFormat="false" ht="15" hidden="false" customHeight="false" outlineLevel="0" collapsed="false">
      <c r="A60" s="24"/>
      <c r="B60" s="25"/>
      <c r="C60" s="25"/>
      <c r="D60" s="26"/>
      <c r="E60" s="25" t="str">
        <f aca="false">IF(B60="","",IF(COUNTIFS('General Ledger'!$B$5:$B$104,B60,'General Ledger'!$D$5:$D$104,D60)&gt;0,"Yes","No"))</f>
        <v/>
      </c>
    </row>
    <row r="61" customFormat="false" ht="15" hidden="false" customHeight="false" outlineLevel="0" collapsed="false">
      <c r="A61" s="23"/>
      <c r="B61" s="10"/>
      <c r="C61" s="10"/>
      <c r="D61" s="12"/>
      <c r="E61" s="10" t="str">
        <f aca="false">IF(B61="","",IF(COUNTIFS('General Ledger'!$B$5:$B$104,B61,'General Ledger'!$D$5:$D$104,D61)&gt;0,"Yes","No"))</f>
        <v/>
      </c>
    </row>
    <row r="62" customFormat="false" ht="15" hidden="false" customHeight="false" outlineLevel="0" collapsed="false">
      <c r="A62" s="24"/>
      <c r="B62" s="25"/>
      <c r="C62" s="25"/>
      <c r="D62" s="26"/>
      <c r="E62" s="25" t="str">
        <f aca="false">IF(B62="","",IF(COUNTIFS('General Ledger'!$B$5:$B$104,B62,'General Ledger'!$D$5:$D$104,D62)&gt;0,"Yes","No"))</f>
        <v/>
      </c>
    </row>
    <row r="63" customFormat="false" ht="15" hidden="false" customHeight="false" outlineLevel="0" collapsed="false">
      <c r="A63" s="23"/>
      <c r="B63" s="10"/>
      <c r="C63" s="10"/>
      <c r="D63" s="12"/>
      <c r="E63" s="10" t="str">
        <f aca="false">IF(B63="","",IF(COUNTIFS('General Ledger'!$B$5:$B$104,B63,'General Ledger'!$D$5:$D$104,D63)&gt;0,"Yes","No"))</f>
        <v/>
      </c>
    </row>
    <row r="64" customFormat="false" ht="15" hidden="false" customHeight="false" outlineLevel="0" collapsed="false">
      <c r="A64" s="24"/>
      <c r="B64" s="25"/>
      <c r="C64" s="25"/>
      <c r="D64" s="26"/>
      <c r="E64" s="25" t="str">
        <f aca="false">IF(B64="","",IF(COUNTIFS('General Ledger'!$B$5:$B$104,B64,'General Ledger'!$D$5:$D$104,D64)&gt;0,"Yes","No"))</f>
        <v/>
      </c>
    </row>
    <row r="65" customFormat="false" ht="15" hidden="false" customHeight="false" outlineLevel="0" collapsed="false">
      <c r="A65" s="23"/>
      <c r="B65" s="10"/>
      <c r="C65" s="10"/>
      <c r="D65" s="12"/>
      <c r="E65" s="10" t="str">
        <f aca="false">IF(B65="","",IF(COUNTIFS('General Ledger'!$B$5:$B$104,B65,'General Ledger'!$D$5:$D$104,D65)&gt;0,"Yes","No"))</f>
        <v/>
      </c>
    </row>
    <row r="66" customFormat="false" ht="15" hidden="false" customHeight="false" outlineLevel="0" collapsed="false">
      <c r="A66" s="24"/>
      <c r="B66" s="25"/>
      <c r="C66" s="25"/>
      <c r="D66" s="26"/>
      <c r="E66" s="25" t="str">
        <f aca="false">IF(B66="","",IF(COUNTIFS('General Ledger'!$B$5:$B$104,B66,'General Ledger'!$D$5:$D$104,D66)&gt;0,"Yes","No"))</f>
        <v/>
      </c>
    </row>
    <row r="67" customFormat="false" ht="15" hidden="false" customHeight="false" outlineLevel="0" collapsed="false">
      <c r="A67" s="23"/>
      <c r="B67" s="10"/>
      <c r="C67" s="10"/>
      <c r="D67" s="12"/>
      <c r="E67" s="10" t="str">
        <f aca="false">IF(B67="","",IF(COUNTIFS('General Ledger'!$B$5:$B$104,B67,'General Ledger'!$D$5:$D$104,D67)&gt;0,"Yes","No"))</f>
        <v/>
      </c>
    </row>
    <row r="68" customFormat="false" ht="15" hidden="false" customHeight="false" outlineLevel="0" collapsed="false">
      <c r="A68" s="24"/>
      <c r="B68" s="25"/>
      <c r="C68" s="25"/>
      <c r="D68" s="26"/>
      <c r="E68" s="25" t="str">
        <f aca="false">IF(B68="","",IF(COUNTIFS('General Ledger'!$B$5:$B$104,B68,'General Ledger'!$D$5:$D$104,D68)&gt;0,"Yes","No"))</f>
        <v/>
      </c>
    </row>
    <row r="69" customFormat="false" ht="15" hidden="false" customHeight="false" outlineLevel="0" collapsed="false">
      <c r="A69" s="23"/>
      <c r="B69" s="10"/>
      <c r="C69" s="10"/>
      <c r="D69" s="12"/>
      <c r="E69" s="10" t="str">
        <f aca="false">IF(B69="","",IF(COUNTIFS('General Ledger'!$B$5:$B$104,B69,'General Ledger'!$D$5:$D$104,D69)&gt;0,"Yes","No"))</f>
        <v/>
      </c>
    </row>
    <row r="70" customFormat="false" ht="15" hidden="false" customHeight="false" outlineLevel="0" collapsed="false">
      <c r="A70" s="24"/>
      <c r="B70" s="25"/>
      <c r="C70" s="25"/>
      <c r="D70" s="26"/>
      <c r="E70" s="25" t="str">
        <f aca="false">IF(B70="","",IF(COUNTIFS('General Ledger'!$B$5:$B$104,B70,'General Ledger'!$D$5:$D$104,D70)&gt;0,"Yes","No"))</f>
        <v/>
      </c>
    </row>
    <row r="71" customFormat="false" ht="15" hidden="false" customHeight="false" outlineLevel="0" collapsed="false">
      <c r="A71" s="23"/>
      <c r="B71" s="10"/>
      <c r="C71" s="10"/>
      <c r="D71" s="12"/>
      <c r="E71" s="10" t="str">
        <f aca="false">IF(B71="","",IF(COUNTIFS('General Ledger'!$B$5:$B$104,B71,'General Ledger'!$D$5:$D$104,D71)&gt;0,"Yes","No"))</f>
        <v/>
      </c>
    </row>
    <row r="72" customFormat="false" ht="15" hidden="false" customHeight="false" outlineLevel="0" collapsed="false">
      <c r="A72" s="24"/>
      <c r="B72" s="25"/>
      <c r="C72" s="25"/>
      <c r="D72" s="26"/>
      <c r="E72" s="25" t="str">
        <f aca="false">IF(B72="","",IF(COUNTIFS('General Ledger'!$B$5:$B$104,B72,'General Ledger'!$D$5:$D$104,D72)&gt;0,"Yes","No"))</f>
        <v/>
      </c>
    </row>
    <row r="73" customFormat="false" ht="15" hidden="false" customHeight="false" outlineLevel="0" collapsed="false">
      <c r="A73" s="23"/>
      <c r="B73" s="10"/>
      <c r="C73" s="10"/>
      <c r="D73" s="12"/>
      <c r="E73" s="10" t="str">
        <f aca="false">IF(B73="","",IF(COUNTIFS('General Ledger'!$B$5:$B$104,B73,'General Ledger'!$D$5:$D$104,D73)&gt;0,"Yes","No"))</f>
        <v/>
      </c>
    </row>
    <row r="74" customFormat="false" ht="15" hidden="false" customHeight="false" outlineLevel="0" collapsed="false">
      <c r="A74" s="24"/>
      <c r="B74" s="25"/>
      <c r="C74" s="25"/>
      <c r="D74" s="26"/>
      <c r="E74" s="25" t="str">
        <f aca="false">IF(B74="","",IF(COUNTIFS('General Ledger'!$B$5:$B$104,B74,'General Ledger'!$D$5:$D$104,D74)&gt;0,"Yes","No"))</f>
        <v/>
      </c>
    </row>
    <row r="75" customFormat="false" ht="15" hidden="false" customHeight="false" outlineLevel="0" collapsed="false">
      <c r="A75" s="23"/>
      <c r="B75" s="10"/>
      <c r="C75" s="10"/>
      <c r="D75" s="12"/>
      <c r="E75" s="10" t="str">
        <f aca="false">IF(B75="","",IF(COUNTIFS('General Ledger'!$B$5:$B$104,B75,'General Ledger'!$D$5:$D$104,D75)&gt;0,"Yes","No"))</f>
        <v/>
      </c>
    </row>
    <row r="76" customFormat="false" ht="15" hidden="false" customHeight="false" outlineLevel="0" collapsed="false">
      <c r="A76" s="24"/>
      <c r="B76" s="25"/>
      <c r="C76" s="25"/>
      <c r="D76" s="26"/>
      <c r="E76" s="25" t="str">
        <f aca="false">IF(B76="","",IF(COUNTIFS('General Ledger'!$B$5:$B$104,B76,'General Ledger'!$D$5:$D$104,D76)&gt;0,"Yes","No"))</f>
        <v/>
      </c>
    </row>
    <row r="77" customFormat="false" ht="15" hidden="false" customHeight="false" outlineLevel="0" collapsed="false">
      <c r="A77" s="23"/>
      <c r="B77" s="10"/>
      <c r="C77" s="10"/>
      <c r="D77" s="12"/>
      <c r="E77" s="10" t="str">
        <f aca="false">IF(B77="","",IF(COUNTIFS('General Ledger'!$B$5:$B$104,B77,'General Ledger'!$D$5:$D$104,D77)&gt;0,"Yes","No"))</f>
        <v/>
      </c>
    </row>
    <row r="78" customFormat="false" ht="15" hidden="false" customHeight="false" outlineLevel="0" collapsed="false">
      <c r="A78" s="24"/>
      <c r="B78" s="25"/>
      <c r="C78" s="25"/>
      <c r="D78" s="26"/>
      <c r="E78" s="25" t="str">
        <f aca="false">IF(B78="","",IF(COUNTIFS('General Ledger'!$B$5:$B$104,B78,'General Ledger'!$D$5:$D$104,D78)&gt;0,"Yes","No"))</f>
        <v/>
      </c>
    </row>
    <row r="79" customFormat="false" ht="15" hidden="false" customHeight="false" outlineLevel="0" collapsed="false">
      <c r="A79" s="23"/>
      <c r="B79" s="10"/>
      <c r="C79" s="10"/>
      <c r="D79" s="12"/>
      <c r="E79" s="10" t="str">
        <f aca="false">IF(B79="","",IF(COUNTIFS('General Ledger'!$B$5:$B$104,B79,'General Ledger'!$D$5:$D$104,D79)&gt;0,"Yes","No"))</f>
        <v/>
      </c>
    </row>
    <row r="80" customFormat="false" ht="15" hidden="false" customHeight="false" outlineLevel="0" collapsed="false">
      <c r="A80" s="24"/>
      <c r="B80" s="25"/>
      <c r="C80" s="25"/>
      <c r="D80" s="26"/>
      <c r="E80" s="25" t="str">
        <f aca="false">IF(B80="","",IF(COUNTIFS('General Ledger'!$B$5:$B$104,B80,'General Ledger'!$D$5:$D$104,D80)&gt;0,"Yes","No"))</f>
        <v/>
      </c>
    </row>
    <row r="81" customFormat="false" ht="15" hidden="false" customHeight="false" outlineLevel="0" collapsed="false">
      <c r="A81" s="23"/>
      <c r="B81" s="10"/>
      <c r="C81" s="10"/>
      <c r="D81" s="12"/>
      <c r="E81" s="10" t="str">
        <f aca="false">IF(B81="","",IF(COUNTIFS('General Ledger'!$B$5:$B$104,B81,'General Ledger'!$D$5:$D$104,D81)&gt;0,"Yes","No"))</f>
        <v/>
      </c>
    </row>
    <row r="82" customFormat="false" ht="15" hidden="false" customHeight="false" outlineLevel="0" collapsed="false">
      <c r="A82" s="24"/>
      <c r="B82" s="25"/>
      <c r="C82" s="25"/>
      <c r="D82" s="26"/>
      <c r="E82" s="25" t="str">
        <f aca="false">IF(B82="","",IF(COUNTIFS('General Ledger'!$B$5:$B$104,B82,'General Ledger'!$D$5:$D$104,D82)&gt;0,"Yes","No"))</f>
        <v/>
      </c>
    </row>
    <row r="83" customFormat="false" ht="15" hidden="false" customHeight="false" outlineLevel="0" collapsed="false">
      <c r="A83" s="23"/>
      <c r="B83" s="10"/>
      <c r="C83" s="10"/>
      <c r="D83" s="12"/>
      <c r="E83" s="10" t="str">
        <f aca="false">IF(B83="","",IF(COUNTIFS('General Ledger'!$B$5:$B$104,B83,'General Ledger'!$D$5:$D$104,D83)&gt;0,"Yes","No"))</f>
        <v/>
      </c>
    </row>
    <row r="84" customFormat="false" ht="15" hidden="false" customHeight="false" outlineLevel="0" collapsed="false">
      <c r="A84" s="24"/>
      <c r="B84" s="25"/>
      <c r="C84" s="25"/>
      <c r="D84" s="26"/>
      <c r="E84" s="25" t="str">
        <f aca="false">IF(B84="","",IF(COUNTIFS('General Ledger'!$B$5:$B$104,B84,'General Ledger'!$D$5:$D$104,D84)&gt;0,"Yes","No"))</f>
        <v/>
      </c>
    </row>
    <row r="85" customFormat="false" ht="15" hidden="false" customHeight="false" outlineLevel="0" collapsed="false">
      <c r="A85" s="23"/>
      <c r="B85" s="10"/>
      <c r="C85" s="10"/>
      <c r="D85" s="12"/>
      <c r="E85" s="10" t="str">
        <f aca="false">IF(B85="","",IF(COUNTIFS('General Ledger'!$B$5:$B$104,B85,'General Ledger'!$D$5:$D$104,D85)&gt;0,"Yes","No"))</f>
        <v/>
      </c>
    </row>
    <row r="86" customFormat="false" ht="15" hidden="false" customHeight="false" outlineLevel="0" collapsed="false">
      <c r="A86" s="24"/>
      <c r="B86" s="25"/>
      <c r="C86" s="25"/>
      <c r="D86" s="26"/>
      <c r="E86" s="25" t="str">
        <f aca="false">IF(B86="","",IF(COUNTIFS('General Ledger'!$B$5:$B$104,B86,'General Ledger'!$D$5:$D$104,D86)&gt;0,"Yes","No"))</f>
        <v/>
      </c>
    </row>
    <row r="87" customFormat="false" ht="15" hidden="false" customHeight="false" outlineLevel="0" collapsed="false">
      <c r="A87" s="23"/>
      <c r="B87" s="10"/>
      <c r="C87" s="10"/>
      <c r="D87" s="12"/>
      <c r="E87" s="10" t="str">
        <f aca="false">IF(B87="","",IF(COUNTIFS('General Ledger'!$B$5:$B$104,B87,'General Ledger'!$D$5:$D$104,D87)&gt;0,"Yes","No"))</f>
        <v/>
      </c>
    </row>
    <row r="88" customFormat="false" ht="15" hidden="false" customHeight="false" outlineLevel="0" collapsed="false">
      <c r="A88" s="24"/>
      <c r="B88" s="25"/>
      <c r="C88" s="25"/>
      <c r="D88" s="26"/>
      <c r="E88" s="25" t="str">
        <f aca="false">IF(B88="","",IF(COUNTIFS('General Ledger'!$B$5:$B$104,B88,'General Ledger'!$D$5:$D$104,D88)&gt;0,"Yes","No"))</f>
        <v/>
      </c>
    </row>
    <row r="89" customFormat="false" ht="15" hidden="false" customHeight="false" outlineLevel="0" collapsed="false">
      <c r="A89" s="23"/>
      <c r="B89" s="10"/>
      <c r="C89" s="10"/>
      <c r="D89" s="12"/>
      <c r="E89" s="10" t="str">
        <f aca="false">IF(B89="","",IF(COUNTIFS('General Ledger'!$B$5:$B$104,B89,'General Ledger'!$D$5:$D$104,D89)&gt;0,"Yes","No"))</f>
        <v/>
      </c>
    </row>
    <row r="90" customFormat="false" ht="15" hidden="false" customHeight="false" outlineLevel="0" collapsed="false">
      <c r="A90" s="24"/>
      <c r="B90" s="25"/>
      <c r="C90" s="25"/>
      <c r="D90" s="26"/>
      <c r="E90" s="25" t="str">
        <f aca="false">IF(B90="","",IF(COUNTIFS('General Ledger'!$B$5:$B$104,B90,'General Ledger'!$D$5:$D$104,D90)&gt;0,"Yes","No"))</f>
        <v/>
      </c>
    </row>
    <row r="91" customFormat="false" ht="15" hidden="false" customHeight="false" outlineLevel="0" collapsed="false">
      <c r="A91" s="23"/>
      <c r="B91" s="10"/>
      <c r="C91" s="10"/>
      <c r="D91" s="12"/>
      <c r="E91" s="10" t="str">
        <f aca="false">IF(B91="","",IF(COUNTIFS('General Ledger'!$B$5:$B$104,B91,'General Ledger'!$D$5:$D$104,D91)&gt;0,"Yes","No"))</f>
        <v/>
      </c>
    </row>
    <row r="92" customFormat="false" ht="15" hidden="false" customHeight="false" outlineLevel="0" collapsed="false">
      <c r="A92" s="24"/>
      <c r="B92" s="25"/>
      <c r="C92" s="25"/>
      <c r="D92" s="26"/>
      <c r="E92" s="25" t="str">
        <f aca="false">IF(B92="","",IF(COUNTIFS('General Ledger'!$B$5:$B$104,B92,'General Ledger'!$D$5:$D$104,D92)&gt;0,"Yes","No"))</f>
        <v/>
      </c>
    </row>
    <row r="93" customFormat="false" ht="15" hidden="false" customHeight="false" outlineLevel="0" collapsed="false">
      <c r="A93" s="23"/>
      <c r="B93" s="10"/>
      <c r="C93" s="10"/>
      <c r="D93" s="12"/>
      <c r="E93" s="10" t="str">
        <f aca="false">IF(B93="","",IF(COUNTIFS('General Ledger'!$B$5:$B$104,B93,'General Ledger'!$D$5:$D$104,D93)&gt;0,"Yes","No"))</f>
        <v/>
      </c>
    </row>
    <row r="94" customFormat="false" ht="15" hidden="false" customHeight="false" outlineLevel="0" collapsed="false">
      <c r="A94" s="24"/>
      <c r="B94" s="25"/>
      <c r="C94" s="25"/>
      <c r="D94" s="26"/>
      <c r="E94" s="25" t="str">
        <f aca="false">IF(B94="","",IF(COUNTIFS('General Ledger'!$B$5:$B$104,B94,'General Ledger'!$D$5:$D$104,D94)&gt;0,"Yes","No"))</f>
        <v/>
      </c>
    </row>
    <row r="95" customFormat="false" ht="15" hidden="false" customHeight="false" outlineLevel="0" collapsed="false">
      <c r="A95" s="23"/>
      <c r="B95" s="10"/>
      <c r="C95" s="10"/>
      <c r="D95" s="12"/>
      <c r="E95" s="10" t="str">
        <f aca="false">IF(B95="","",IF(COUNTIFS('General Ledger'!$B$5:$B$104,B95,'General Ledger'!$D$5:$D$104,D95)&gt;0,"Yes","No"))</f>
        <v/>
      </c>
    </row>
    <row r="96" customFormat="false" ht="15" hidden="false" customHeight="false" outlineLevel="0" collapsed="false">
      <c r="A96" s="24"/>
      <c r="B96" s="25"/>
      <c r="C96" s="25"/>
      <c r="D96" s="26"/>
      <c r="E96" s="25" t="str">
        <f aca="false">IF(B96="","",IF(COUNTIFS('General Ledger'!$B$5:$B$104,B96,'General Ledger'!$D$5:$D$104,D96)&gt;0,"Yes","No"))</f>
        <v/>
      </c>
    </row>
    <row r="97" customFormat="false" ht="15" hidden="false" customHeight="false" outlineLevel="0" collapsed="false">
      <c r="A97" s="23"/>
      <c r="B97" s="10"/>
      <c r="C97" s="10"/>
      <c r="D97" s="12"/>
      <c r="E97" s="10" t="str">
        <f aca="false">IF(B97="","",IF(COUNTIFS('General Ledger'!$B$5:$B$104,B97,'General Ledger'!$D$5:$D$104,D97)&gt;0,"Yes","No"))</f>
        <v/>
      </c>
    </row>
    <row r="98" customFormat="false" ht="15" hidden="false" customHeight="false" outlineLevel="0" collapsed="false">
      <c r="A98" s="24"/>
      <c r="B98" s="25"/>
      <c r="C98" s="25"/>
      <c r="D98" s="26"/>
      <c r="E98" s="25" t="str">
        <f aca="false">IF(B98="","",IF(COUNTIFS('General Ledger'!$B$5:$B$104,B98,'General Ledger'!$D$5:$D$104,D98)&gt;0,"Yes","No"))</f>
        <v/>
      </c>
    </row>
    <row r="99" customFormat="false" ht="15" hidden="false" customHeight="false" outlineLevel="0" collapsed="false">
      <c r="A99" s="23"/>
      <c r="B99" s="10"/>
      <c r="C99" s="10"/>
      <c r="D99" s="12"/>
      <c r="E99" s="10" t="str">
        <f aca="false">IF(B99="","",IF(COUNTIFS('General Ledger'!$B$5:$B$104,B99,'General Ledger'!$D$5:$D$104,D99)&gt;0,"Yes","No"))</f>
        <v/>
      </c>
    </row>
    <row r="100" customFormat="false" ht="15" hidden="false" customHeight="false" outlineLevel="0" collapsed="false">
      <c r="A100" s="24"/>
      <c r="B100" s="25"/>
      <c r="C100" s="25"/>
      <c r="D100" s="26"/>
      <c r="E100" s="25" t="str">
        <f aca="false">IF(B100="","",IF(COUNTIFS('General Ledger'!$B$5:$B$104,B100,'General Ledger'!$D$5:$D$104,D100)&gt;0,"Yes","No"))</f>
        <v/>
      </c>
    </row>
    <row r="101" customFormat="false" ht="15" hidden="false" customHeight="false" outlineLevel="0" collapsed="false">
      <c r="A101" s="23"/>
      <c r="B101" s="10"/>
      <c r="C101" s="10"/>
      <c r="D101" s="12"/>
      <c r="E101" s="10" t="str">
        <f aca="false">IF(B101="","",IF(COUNTIFS('General Ledger'!$B$5:$B$104,B101,'General Ledger'!$D$5:$D$104,D101)&gt;0,"Yes","No"))</f>
        <v/>
      </c>
    </row>
    <row r="102" customFormat="false" ht="15" hidden="false" customHeight="false" outlineLevel="0" collapsed="false">
      <c r="A102" s="24"/>
      <c r="B102" s="25"/>
      <c r="C102" s="25"/>
      <c r="D102" s="26"/>
      <c r="E102" s="25" t="str">
        <f aca="false">IF(B102="","",IF(COUNTIFS('General Ledger'!$B$5:$B$104,B102,'General Ledger'!$D$5:$D$104,D102)&gt;0,"Yes","No"))</f>
        <v/>
      </c>
    </row>
    <row r="103" customFormat="false" ht="15" hidden="false" customHeight="false" outlineLevel="0" collapsed="false">
      <c r="A103" s="23"/>
      <c r="B103" s="10"/>
      <c r="C103" s="10"/>
      <c r="D103" s="12"/>
      <c r="E103" s="10" t="str">
        <f aca="false">IF(B103="","",IF(COUNTIFS('General Ledger'!$B$5:$B$104,B103,'General Ledger'!$D$5:$D$104,D103)&gt;0,"Yes","No"))</f>
        <v/>
      </c>
    </row>
    <row r="104" customFormat="false" ht="15" hidden="false" customHeight="false" outlineLevel="0" collapsed="false">
      <c r="A104" s="24"/>
      <c r="B104" s="25"/>
      <c r="C104" s="25"/>
      <c r="D104" s="26"/>
      <c r="E104" s="25" t="str">
        <f aca="false">IF(B104="","",IF(COUNTIFS('General Ledger'!$B$5:$B$104,B104,'General Ledger'!$D$5:$D$104,D104)&gt;0,"Yes","No"))</f>
        <v/>
      </c>
    </row>
  </sheetData>
  <conditionalFormatting sqref="E5:E104">
    <cfRule type="cellIs" priority="2" operator="equal" aboveAverage="0" equalAverage="0" bottom="0" percent="0" rank="0" text="" dxfId="1">
      <formula>"No"</formula>
    </cfRule>
    <cfRule type="cellIs" priority="3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"/>
    <col collapsed="false" customWidth="true" hidden="false" outlineLevel="0" max="7" min="7" style="0" width="74"/>
  </cols>
  <sheetData>
    <row r="1" customFormat="false" ht="27.75" hidden="false" customHeight="true" outlineLevel="0" collapsed="false">
      <c r="A1" s="1" t="s">
        <v>60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21" t="s">
        <v>49</v>
      </c>
      <c r="B4" s="21" t="s">
        <v>50</v>
      </c>
      <c r="C4" s="21" t="s">
        <v>51</v>
      </c>
      <c r="D4" s="21" t="s">
        <v>52</v>
      </c>
      <c r="E4" s="22" t="s">
        <v>53</v>
      </c>
      <c r="G4" s="6" t="s">
        <v>54</v>
      </c>
    </row>
    <row r="5" customFormat="false" ht="15" hidden="false" customHeight="false" outlineLevel="0" collapsed="false">
      <c r="A5" s="23"/>
      <c r="B5" s="10"/>
      <c r="C5" s="10"/>
      <c r="D5" s="12"/>
      <c r="E5" s="10" t="str">
        <f aca="false">IF(B5="","",IF(COUNTIFS('Bank Statement'!$B$5:$B$104,B5,'Bank Statement'!$D$5:$D$104,D5)&gt;0,"Yes","No"))</f>
        <v/>
      </c>
      <c r="G5" s="9" t="s">
        <v>55</v>
      </c>
    </row>
    <row r="6" customFormat="false" ht="15" hidden="false" customHeight="false" outlineLevel="0" collapsed="false">
      <c r="A6" s="24"/>
      <c r="B6" s="25"/>
      <c r="C6" s="25"/>
      <c r="D6" s="26"/>
      <c r="E6" s="25" t="str">
        <f aca="false">IF(B6="","",IF(COUNTIFS('Bank Statement'!$B$5:$B$104,B6,'Bank Statement'!$D$5:$D$104,D6)&gt;0,"Yes","No"))</f>
        <v/>
      </c>
      <c r="G6" s="9" t="s">
        <v>56</v>
      </c>
    </row>
    <row r="7" customFormat="false" ht="15" hidden="false" customHeight="false" outlineLevel="0" collapsed="false">
      <c r="A7" s="23"/>
      <c r="B7" s="10"/>
      <c r="C7" s="10"/>
      <c r="D7" s="12"/>
      <c r="E7" s="10" t="str">
        <f aca="false">IF(B7="","",IF(COUNTIFS('Bank Statement'!$B$5:$B$104,B7,'Bank Statement'!$D$5:$D$104,D7)&gt;0,"Yes","No"))</f>
        <v/>
      </c>
      <c r="G7" s="9" t="s">
        <v>57</v>
      </c>
    </row>
    <row r="8" customFormat="false" ht="15" hidden="false" customHeight="false" outlineLevel="0" collapsed="false">
      <c r="A8" s="24"/>
      <c r="B8" s="25"/>
      <c r="C8" s="25"/>
      <c r="D8" s="26"/>
      <c r="E8" s="25" t="str">
        <f aca="false">IF(B8="","",IF(COUNTIFS('Bank Statement'!$B$5:$B$104,B8,'Bank Statement'!$D$5:$D$104,D8)&gt;0,"Yes","No"))</f>
        <v/>
      </c>
      <c r="G8" s="9" t="s">
        <v>58</v>
      </c>
    </row>
    <row r="9" customFormat="false" ht="15" hidden="false" customHeight="false" outlineLevel="0" collapsed="false">
      <c r="A9" s="23"/>
      <c r="B9" s="10"/>
      <c r="C9" s="10"/>
      <c r="D9" s="12"/>
      <c r="E9" s="10" t="str">
        <f aca="false">IF(B9="","",IF(COUNTIFS('Bank Statement'!$B$5:$B$104,B9,'Bank Statement'!$D$5:$D$104,D9)&gt;0,"Yes","No"))</f>
        <v/>
      </c>
      <c r="G9" s="9" t="s">
        <v>59</v>
      </c>
    </row>
    <row r="10" customFormat="false" ht="15" hidden="false" customHeight="false" outlineLevel="0" collapsed="false">
      <c r="A10" s="24"/>
      <c r="B10" s="25"/>
      <c r="C10" s="25"/>
      <c r="D10" s="26"/>
      <c r="E10" s="25" t="str">
        <f aca="false">IF(B10="","",IF(COUNTIFS('Bank Statement'!$B$5:$B$104,B10,'Bank Statement'!$D$5:$D$104,D10)&gt;0,"Yes","No"))</f>
        <v/>
      </c>
      <c r="G10" s="9"/>
    </row>
    <row r="11" customFormat="false" ht="15" hidden="false" customHeight="false" outlineLevel="0" collapsed="false">
      <c r="A11" s="23"/>
      <c r="B11" s="10"/>
      <c r="C11" s="10"/>
      <c r="D11" s="12"/>
      <c r="E11" s="10" t="str">
        <f aca="false">IF(B11="","",IF(COUNTIFS('Bank Statement'!$B$5:$B$104,B11,'Bank Statement'!$D$5:$D$104,D11)&gt;0,"Yes","No"))</f>
        <v/>
      </c>
      <c r="G11" s="7" t="s">
        <v>43</v>
      </c>
    </row>
    <row r="12" customFormat="false" ht="15" hidden="false" customHeight="false" outlineLevel="0" collapsed="false">
      <c r="A12" s="24"/>
      <c r="B12" s="25"/>
      <c r="C12" s="25"/>
      <c r="D12" s="26"/>
      <c r="E12" s="25" t="str">
        <f aca="false">IF(B12="","",IF(COUNTIFS('Bank Statement'!$B$5:$B$104,B12,'Bank Statement'!$D$5:$D$104,D12)&gt;0,"Yes","No"))</f>
        <v/>
      </c>
      <c r="G12" s="9" t="s">
        <v>44</v>
      </c>
    </row>
    <row r="13" customFormat="false" ht="15" hidden="false" customHeight="false" outlineLevel="0" collapsed="false">
      <c r="A13" s="23"/>
      <c r="B13" s="10"/>
      <c r="C13" s="10"/>
      <c r="D13" s="12"/>
      <c r="E13" s="10" t="str">
        <f aca="false">IF(B13="","",IF(COUNTIFS('Bank Statement'!$B$5:$B$104,B13,'Bank Statement'!$D$5:$D$104,D13)&gt;0,"Yes","No"))</f>
        <v/>
      </c>
      <c r="G13" s="9" t="s">
        <v>45</v>
      </c>
    </row>
    <row r="14" customFormat="false" ht="15" hidden="false" customHeight="false" outlineLevel="0" collapsed="false">
      <c r="A14" s="24"/>
      <c r="B14" s="25"/>
      <c r="C14" s="25"/>
      <c r="D14" s="26"/>
      <c r="E14" s="25" t="str">
        <f aca="false">IF(B14="","",IF(COUNTIFS('Bank Statement'!$B$5:$B$104,B14,'Bank Statement'!$D$5:$D$104,D14)&gt;0,"Yes","No"))</f>
        <v/>
      </c>
      <c r="G14" s="9" t="s">
        <v>46</v>
      </c>
    </row>
    <row r="15" customFormat="false" ht="15" hidden="false" customHeight="false" outlineLevel="0" collapsed="false">
      <c r="A15" s="23"/>
      <c r="B15" s="10"/>
      <c r="C15" s="10"/>
      <c r="D15" s="12"/>
      <c r="E15" s="10" t="str">
        <f aca="false">IF(B15="","",IF(COUNTIFS('Bank Statement'!$B$5:$B$104,B15,'Bank Statement'!$D$5:$D$104,D15)&gt;0,"Yes","No"))</f>
        <v/>
      </c>
      <c r="G15" s="20" t="s">
        <v>47</v>
      </c>
    </row>
    <row r="16" customFormat="false" ht="15" hidden="false" customHeight="false" outlineLevel="0" collapsed="false">
      <c r="A16" s="24"/>
      <c r="B16" s="25"/>
      <c r="C16" s="25"/>
      <c r="D16" s="26"/>
      <c r="E16" s="25" t="str">
        <f aca="false">IF(B16="","",IF(COUNTIFS('Bank Statement'!$B$5:$B$104,B16,'Bank Statement'!$D$5:$D$104,D16)&gt;0,"Yes","No"))</f>
        <v/>
      </c>
    </row>
    <row r="17" customFormat="false" ht="15" hidden="false" customHeight="false" outlineLevel="0" collapsed="false">
      <c r="A17" s="23"/>
      <c r="B17" s="10"/>
      <c r="C17" s="10"/>
      <c r="D17" s="12"/>
      <c r="E17" s="10" t="str">
        <f aca="false">IF(B17="","",IF(COUNTIFS('Bank Statement'!$B$5:$B$104,B17,'Bank Statement'!$D$5:$D$104,D17)&gt;0,"Yes","No"))</f>
        <v/>
      </c>
    </row>
    <row r="18" customFormat="false" ht="15" hidden="false" customHeight="false" outlineLevel="0" collapsed="false">
      <c r="A18" s="24"/>
      <c r="B18" s="25"/>
      <c r="C18" s="25"/>
      <c r="D18" s="26"/>
      <c r="E18" s="25" t="str">
        <f aca="false">IF(B18="","",IF(COUNTIFS('Bank Statement'!$B$5:$B$104,B18,'Bank Statement'!$D$5:$D$104,D18)&gt;0,"Yes","No"))</f>
        <v/>
      </c>
    </row>
    <row r="19" customFormat="false" ht="15" hidden="false" customHeight="false" outlineLevel="0" collapsed="false">
      <c r="A19" s="23"/>
      <c r="B19" s="10"/>
      <c r="C19" s="10"/>
      <c r="D19" s="12"/>
      <c r="E19" s="10" t="str">
        <f aca="false">IF(B19="","",IF(COUNTIFS('Bank Statement'!$B$5:$B$104,B19,'Bank Statement'!$D$5:$D$104,D19)&gt;0,"Yes","No"))</f>
        <v/>
      </c>
    </row>
    <row r="20" customFormat="false" ht="15" hidden="false" customHeight="false" outlineLevel="0" collapsed="false">
      <c r="A20" s="24"/>
      <c r="B20" s="25"/>
      <c r="C20" s="25"/>
      <c r="D20" s="26"/>
      <c r="E20" s="25" t="str">
        <f aca="false">IF(B20="","",IF(COUNTIFS('Bank Statement'!$B$5:$B$104,B20,'Bank Statement'!$D$5:$D$104,D20)&gt;0,"Yes","No"))</f>
        <v/>
      </c>
    </row>
    <row r="21" customFormat="false" ht="15" hidden="false" customHeight="false" outlineLevel="0" collapsed="false">
      <c r="A21" s="23"/>
      <c r="B21" s="10"/>
      <c r="C21" s="10"/>
      <c r="D21" s="12"/>
      <c r="E21" s="10" t="str">
        <f aca="false">IF(B21="","",IF(COUNTIFS('Bank Statement'!$B$5:$B$104,B21,'Bank Statement'!$D$5:$D$104,D21)&gt;0,"Yes","No"))</f>
        <v/>
      </c>
    </row>
    <row r="22" customFormat="false" ht="15" hidden="false" customHeight="false" outlineLevel="0" collapsed="false">
      <c r="A22" s="24"/>
      <c r="B22" s="25"/>
      <c r="C22" s="25"/>
      <c r="D22" s="26"/>
      <c r="E22" s="25" t="str">
        <f aca="false">IF(B22="","",IF(COUNTIFS('Bank Statement'!$B$5:$B$104,B22,'Bank Statement'!$D$5:$D$104,D22)&gt;0,"Yes","No"))</f>
        <v/>
      </c>
    </row>
    <row r="23" customFormat="false" ht="15" hidden="false" customHeight="false" outlineLevel="0" collapsed="false">
      <c r="A23" s="23"/>
      <c r="B23" s="10"/>
      <c r="C23" s="10"/>
      <c r="D23" s="12"/>
      <c r="E23" s="10" t="str">
        <f aca="false">IF(B23="","",IF(COUNTIFS('Bank Statement'!$B$5:$B$104,B23,'Bank Statement'!$D$5:$D$104,D23)&gt;0,"Yes","No"))</f>
        <v/>
      </c>
    </row>
    <row r="24" customFormat="false" ht="15" hidden="false" customHeight="false" outlineLevel="0" collapsed="false">
      <c r="A24" s="24"/>
      <c r="B24" s="25"/>
      <c r="C24" s="25"/>
      <c r="D24" s="26"/>
      <c r="E24" s="25" t="str">
        <f aca="false">IF(B24="","",IF(COUNTIFS('Bank Statement'!$B$5:$B$104,B24,'Bank Statement'!$D$5:$D$104,D24)&gt;0,"Yes","No"))</f>
        <v/>
      </c>
    </row>
    <row r="25" customFormat="false" ht="15" hidden="false" customHeight="false" outlineLevel="0" collapsed="false">
      <c r="A25" s="23"/>
      <c r="B25" s="10"/>
      <c r="C25" s="10"/>
      <c r="D25" s="12"/>
      <c r="E25" s="10" t="str">
        <f aca="false">IF(B25="","",IF(COUNTIFS('Bank Statement'!$B$5:$B$104,B25,'Bank Statement'!$D$5:$D$104,D25)&gt;0,"Yes","No"))</f>
        <v/>
      </c>
    </row>
    <row r="26" customFormat="false" ht="15" hidden="false" customHeight="false" outlineLevel="0" collapsed="false">
      <c r="A26" s="24"/>
      <c r="B26" s="25"/>
      <c r="C26" s="25"/>
      <c r="D26" s="26"/>
      <c r="E26" s="25" t="str">
        <f aca="false">IF(B26="","",IF(COUNTIFS('Bank Statement'!$B$5:$B$104,B26,'Bank Statement'!$D$5:$D$104,D26)&gt;0,"Yes","No"))</f>
        <v/>
      </c>
    </row>
    <row r="27" customFormat="false" ht="15" hidden="false" customHeight="false" outlineLevel="0" collapsed="false">
      <c r="A27" s="23"/>
      <c r="B27" s="10"/>
      <c r="C27" s="10"/>
      <c r="D27" s="12"/>
      <c r="E27" s="10" t="str">
        <f aca="false">IF(B27="","",IF(COUNTIFS('Bank Statement'!$B$5:$B$104,B27,'Bank Statement'!$D$5:$D$104,D27)&gt;0,"Yes","No"))</f>
        <v/>
      </c>
    </row>
    <row r="28" customFormat="false" ht="15" hidden="false" customHeight="false" outlineLevel="0" collapsed="false">
      <c r="A28" s="24"/>
      <c r="B28" s="25"/>
      <c r="C28" s="25"/>
      <c r="D28" s="26"/>
      <c r="E28" s="25" t="str">
        <f aca="false">IF(B28="","",IF(COUNTIFS('Bank Statement'!$B$5:$B$104,B28,'Bank Statement'!$D$5:$D$104,D28)&gt;0,"Yes","No"))</f>
        <v/>
      </c>
    </row>
    <row r="29" customFormat="false" ht="15" hidden="false" customHeight="false" outlineLevel="0" collapsed="false">
      <c r="A29" s="23"/>
      <c r="B29" s="10"/>
      <c r="C29" s="10"/>
      <c r="D29" s="12"/>
      <c r="E29" s="10" t="str">
        <f aca="false">IF(B29="","",IF(COUNTIFS('Bank Statement'!$B$5:$B$104,B29,'Bank Statement'!$D$5:$D$104,D29)&gt;0,"Yes","No"))</f>
        <v/>
      </c>
    </row>
    <row r="30" customFormat="false" ht="15" hidden="false" customHeight="false" outlineLevel="0" collapsed="false">
      <c r="A30" s="24"/>
      <c r="B30" s="25"/>
      <c r="C30" s="25"/>
      <c r="D30" s="26"/>
      <c r="E30" s="25" t="str">
        <f aca="false">IF(B30="","",IF(COUNTIFS('Bank Statement'!$B$5:$B$104,B30,'Bank Statement'!$D$5:$D$104,D30)&gt;0,"Yes","No"))</f>
        <v/>
      </c>
    </row>
    <row r="31" customFormat="false" ht="15" hidden="false" customHeight="false" outlineLevel="0" collapsed="false">
      <c r="A31" s="23"/>
      <c r="B31" s="10"/>
      <c r="C31" s="10"/>
      <c r="D31" s="12"/>
      <c r="E31" s="10" t="str">
        <f aca="false">IF(B31="","",IF(COUNTIFS('Bank Statement'!$B$5:$B$104,B31,'Bank Statement'!$D$5:$D$104,D31)&gt;0,"Yes","No"))</f>
        <v/>
      </c>
    </row>
    <row r="32" customFormat="false" ht="15" hidden="false" customHeight="false" outlineLevel="0" collapsed="false">
      <c r="A32" s="24"/>
      <c r="B32" s="25"/>
      <c r="C32" s="25"/>
      <c r="D32" s="26"/>
      <c r="E32" s="25" t="str">
        <f aca="false">IF(B32="","",IF(COUNTIFS('Bank Statement'!$B$5:$B$104,B32,'Bank Statement'!$D$5:$D$104,D32)&gt;0,"Yes","No"))</f>
        <v/>
      </c>
    </row>
    <row r="33" customFormat="false" ht="15" hidden="false" customHeight="false" outlineLevel="0" collapsed="false">
      <c r="A33" s="23"/>
      <c r="B33" s="10"/>
      <c r="C33" s="10"/>
      <c r="D33" s="12"/>
      <c r="E33" s="10" t="str">
        <f aca="false">IF(B33="","",IF(COUNTIFS('Bank Statement'!$B$5:$B$104,B33,'Bank Statement'!$D$5:$D$104,D33)&gt;0,"Yes","No"))</f>
        <v/>
      </c>
    </row>
    <row r="34" customFormat="false" ht="15" hidden="false" customHeight="false" outlineLevel="0" collapsed="false">
      <c r="A34" s="24"/>
      <c r="B34" s="25"/>
      <c r="C34" s="25"/>
      <c r="D34" s="26"/>
      <c r="E34" s="25" t="str">
        <f aca="false">IF(B34="","",IF(COUNTIFS('Bank Statement'!$B$5:$B$104,B34,'Bank Statement'!$D$5:$D$104,D34)&gt;0,"Yes","No"))</f>
        <v/>
      </c>
    </row>
    <row r="35" customFormat="false" ht="15" hidden="false" customHeight="false" outlineLevel="0" collapsed="false">
      <c r="A35" s="23"/>
      <c r="B35" s="10"/>
      <c r="C35" s="10"/>
      <c r="D35" s="12"/>
      <c r="E35" s="10" t="str">
        <f aca="false">IF(B35="","",IF(COUNTIFS('Bank Statement'!$B$5:$B$104,B35,'Bank Statement'!$D$5:$D$104,D35)&gt;0,"Yes","No"))</f>
        <v/>
      </c>
    </row>
    <row r="36" customFormat="false" ht="15" hidden="false" customHeight="false" outlineLevel="0" collapsed="false">
      <c r="A36" s="24"/>
      <c r="B36" s="25"/>
      <c r="C36" s="25"/>
      <c r="D36" s="26"/>
      <c r="E36" s="25" t="str">
        <f aca="false">IF(B36="","",IF(COUNTIFS('Bank Statement'!$B$5:$B$104,B36,'Bank Statement'!$D$5:$D$104,D36)&gt;0,"Yes","No"))</f>
        <v/>
      </c>
    </row>
    <row r="37" customFormat="false" ht="15" hidden="false" customHeight="false" outlineLevel="0" collapsed="false">
      <c r="A37" s="23"/>
      <c r="B37" s="10"/>
      <c r="C37" s="10"/>
      <c r="D37" s="12"/>
      <c r="E37" s="10" t="str">
        <f aca="false">IF(B37="","",IF(COUNTIFS('Bank Statement'!$B$5:$B$104,B37,'Bank Statement'!$D$5:$D$104,D37)&gt;0,"Yes","No"))</f>
        <v/>
      </c>
    </row>
    <row r="38" customFormat="false" ht="15" hidden="false" customHeight="false" outlineLevel="0" collapsed="false">
      <c r="A38" s="24"/>
      <c r="B38" s="25"/>
      <c r="C38" s="25"/>
      <c r="D38" s="26"/>
      <c r="E38" s="25" t="str">
        <f aca="false">IF(B38="","",IF(COUNTIFS('Bank Statement'!$B$5:$B$104,B38,'Bank Statement'!$D$5:$D$104,D38)&gt;0,"Yes","No"))</f>
        <v/>
      </c>
    </row>
    <row r="39" customFormat="false" ht="15" hidden="false" customHeight="false" outlineLevel="0" collapsed="false">
      <c r="A39" s="23"/>
      <c r="B39" s="10"/>
      <c r="C39" s="10"/>
      <c r="D39" s="12"/>
      <c r="E39" s="10" t="str">
        <f aca="false">IF(B39="","",IF(COUNTIFS('Bank Statement'!$B$5:$B$104,B39,'Bank Statement'!$D$5:$D$104,D39)&gt;0,"Yes","No"))</f>
        <v/>
      </c>
    </row>
    <row r="40" customFormat="false" ht="15" hidden="false" customHeight="false" outlineLevel="0" collapsed="false">
      <c r="A40" s="24"/>
      <c r="B40" s="25"/>
      <c r="C40" s="25"/>
      <c r="D40" s="26"/>
      <c r="E40" s="25" t="str">
        <f aca="false">IF(B40="","",IF(COUNTIFS('Bank Statement'!$B$5:$B$104,B40,'Bank Statement'!$D$5:$D$104,D40)&gt;0,"Yes","No"))</f>
        <v/>
      </c>
    </row>
    <row r="41" customFormat="false" ht="15" hidden="false" customHeight="false" outlineLevel="0" collapsed="false">
      <c r="A41" s="23"/>
      <c r="B41" s="10"/>
      <c r="C41" s="10"/>
      <c r="D41" s="12"/>
      <c r="E41" s="10" t="str">
        <f aca="false">IF(B41="","",IF(COUNTIFS('Bank Statement'!$B$5:$B$104,B41,'Bank Statement'!$D$5:$D$104,D41)&gt;0,"Yes","No"))</f>
        <v/>
      </c>
    </row>
    <row r="42" customFormat="false" ht="15" hidden="false" customHeight="false" outlineLevel="0" collapsed="false">
      <c r="A42" s="24"/>
      <c r="B42" s="25"/>
      <c r="C42" s="25"/>
      <c r="D42" s="26"/>
      <c r="E42" s="25" t="str">
        <f aca="false">IF(B42="","",IF(COUNTIFS('Bank Statement'!$B$5:$B$104,B42,'Bank Statement'!$D$5:$D$104,D42)&gt;0,"Yes","No"))</f>
        <v/>
      </c>
    </row>
    <row r="43" customFormat="false" ht="15" hidden="false" customHeight="false" outlineLevel="0" collapsed="false">
      <c r="A43" s="23"/>
      <c r="B43" s="10"/>
      <c r="C43" s="10"/>
      <c r="D43" s="12"/>
      <c r="E43" s="10" t="str">
        <f aca="false">IF(B43="","",IF(COUNTIFS('Bank Statement'!$B$5:$B$104,B43,'Bank Statement'!$D$5:$D$104,D43)&gt;0,"Yes","No"))</f>
        <v/>
      </c>
    </row>
    <row r="44" customFormat="false" ht="15" hidden="false" customHeight="false" outlineLevel="0" collapsed="false">
      <c r="A44" s="24"/>
      <c r="B44" s="25"/>
      <c r="C44" s="25"/>
      <c r="D44" s="26"/>
      <c r="E44" s="25" t="str">
        <f aca="false">IF(B44="","",IF(COUNTIFS('Bank Statement'!$B$5:$B$104,B44,'Bank Statement'!$D$5:$D$104,D44)&gt;0,"Yes","No"))</f>
        <v/>
      </c>
    </row>
    <row r="45" customFormat="false" ht="15" hidden="false" customHeight="false" outlineLevel="0" collapsed="false">
      <c r="A45" s="23"/>
      <c r="B45" s="10"/>
      <c r="C45" s="10"/>
      <c r="D45" s="12"/>
      <c r="E45" s="10" t="str">
        <f aca="false">IF(B45="","",IF(COUNTIFS('Bank Statement'!$B$5:$B$104,B45,'Bank Statement'!$D$5:$D$104,D45)&gt;0,"Yes","No"))</f>
        <v/>
      </c>
    </row>
    <row r="46" customFormat="false" ht="15" hidden="false" customHeight="false" outlineLevel="0" collapsed="false">
      <c r="A46" s="24"/>
      <c r="B46" s="25"/>
      <c r="C46" s="25"/>
      <c r="D46" s="26"/>
      <c r="E46" s="25" t="str">
        <f aca="false">IF(B46="","",IF(COUNTIFS('Bank Statement'!$B$5:$B$104,B46,'Bank Statement'!$D$5:$D$104,D46)&gt;0,"Yes","No"))</f>
        <v/>
      </c>
    </row>
    <row r="47" customFormat="false" ht="15" hidden="false" customHeight="false" outlineLevel="0" collapsed="false">
      <c r="A47" s="23"/>
      <c r="B47" s="10"/>
      <c r="C47" s="10"/>
      <c r="D47" s="12"/>
      <c r="E47" s="10" t="str">
        <f aca="false">IF(B47="","",IF(COUNTIFS('Bank Statement'!$B$5:$B$104,B47,'Bank Statement'!$D$5:$D$104,D47)&gt;0,"Yes","No"))</f>
        <v/>
      </c>
    </row>
    <row r="48" customFormat="false" ht="15" hidden="false" customHeight="false" outlineLevel="0" collapsed="false">
      <c r="A48" s="24"/>
      <c r="B48" s="25"/>
      <c r="C48" s="25"/>
      <c r="D48" s="26"/>
      <c r="E48" s="25" t="str">
        <f aca="false">IF(B48="","",IF(COUNTIFS('Bank Statement'!$B$5:$B$104,B48,'Bank Statement'!$D$5:$D$104,D48)&gt;0,"Yes","No"))</f>
        <v/>
      </c>
    </row>
    <row r="49" customFormat="false" ht="15" hidden="false" customHeight="false" outlineLevel="0" collapsed="false">
      <c r="A49" s="23"/>
      <c r="B49" s="10"/>
      <c r="C49" s="10"/>
      <c r="D49" s="12"/>
      <c r="E49" s="10" t="str">
        <f aca="false">IF(B49="","",IF(COUNTIFS('Bank Statement'!$B$5:$B$104,B49,'Bank Statement'!$D$5:$D$104,D49)&gt;0,"Yes","No"))</f>
        <v/>
      </c>
    </row>
    <row r="50" customFormat="false" ht="15" hidden="false" customHeight="false" outlineLevel="0" collapsed="false">
      <c r="A50" s="24"/>
      <c r="B50" s="25"/>
      <c r="C50" s="25"/>
      <c r="D50" s="26"/>
      <c r="E50" s="25" t="str">
        <f aca="false">IF(B50="","",IF(COUNTIFS('Bank Statement'!$B$5:$B$104,B50,'Bank Statement'!$D$5:$D$104,D50)&gt;0,"Yes","No"))</f>
        <v/>
      </c>
    </row>
    <row r="51" customFormat="false" ht="15" hidden="false" customHeight="false" outlineLevel="0" collapsed="false">
      <c r="A51" s="23"/>
      <c r="B51" s="10"/>
      <c r="C51" s="10"/>
      <c r="D51" s="12"/>
      <c r="E51" s="10" t="str">
        <f aca="false">IF(B51="","",IF(COUNTIFS('Bank Statement'!$B$5:$B$104,B51,'Bank Statement'!$D$5:$D$104,D51)&gt;0,"Yes","No"))</f>
        <v/>
      </c>
    </row>
    <row r="52" customFormat="false" ht="15" hidden="false" customHeight="false" outlineLevel="0" collapsed="false">
      <c r="A52" s="24"/>
      <c r="B52" s="25"/>
      <c r="C52" s="25"/>
      <c r="D52" s="26"/>
      <c r="E52" s="25" t="str">
        <f aca="false">IF(B52="","",IF(COUNTIFS('Bank Statement'!$B$5:$B$104,B52,'Bank Statement'!$D$5:$D$104,D52)&gt;0,"Yes","No"))</f>
        <v/>
      </c>
    </row>
    <row r="53" customFormat="false" ht="15" hidden="false" customHeight="false" outlineLevel="0" collapsed="false">
      <c r="A53" s="23"/>
      <c r="B53" s="10"/>
      <c r="C53" s="10"/>
      <c r="D53" s="12"/>
      <c r="E53" s="10" t="str">
        <f aca="false">IF(B53="","",IF(COUNTIFS('Bank Statement'!$B$5:$B$104,B53,'Bank Statement'!$D$5:$D$104,D53)&gt;0,"Yes","No"))</f>
        <v/>
      </c>
    </row>
    <row r="54" customFormat="false" ht="15" hidden="false" customHeight="false" outlineLevel="0" collapsed="false">
      <c r="A54" s="24"/>
      <c r="B54" s="25"/>
      <c r="C54" s="25"/>
      <c r="D54" s="26"/>
      <c r="E54" s="25" t="str">
        <f aca="false">IF(B54="","",IF(COUNTIFS('Bank Statement'!$B$5:$B$104,B54,'Bank Statement'!$D$5:$D$104,D54)&gt;0,"Yes","No"))</f>
        <v/>
      </c>
    </row>
    <row r="55" customFormat="false" ht="15" hidden="false" customHeight="false" outlineLevel="0" collapsed="false">
      <c r="A55" s="23"/>
      <c r="B55" s="10"/>
      <c r="C55" s="10"/>
      <c r="D55" s="12"/>
      <c r="E55" s="10" t="str">
        <f aca="false">IF(B55="","",IF(COUNTIFS('Bank Statement'!$B$5:$B$104,B55,'Bank Statement'!$D$5:$D$104,D55)&gt;0,"Yes","No"))</f>
        <v/>
      </c>
    </row>
    <row r="56" customFormat="false" ht="15" hidden="false" customHeight="false" outlineLevel="0" collapsed="false">
      <c r="A56" s="24"/>
      <c r="B56" s="25"/>
      <c r="C56" s="25"/>
      <c r="D56" s="26"/>
      <c r="E56" s="25" t="str">
        <f aca="false">IF(B56="","",IF(COUNTIFS('Bank Statement'!$B$5:$B$104,B56,'Bank Statement'!$D$5:$D$104,D56)&gt;0,"Yes","No"))</f>
        <v/>
      </c>
    </row>
    <row r="57" customFormat="false" ht="15" hidden="false" customHeight="false" outlineLevel="0" collapsed="false">
      <c r="A57" s="23"/>
      <c r="B57" s="10"/>
      <c r="C57" s="10"/>
      <c r="D57" s="12"/>
      <c r="E57" s="10" t="str">
        <f aca="false">IF(B57="","",IF(COUNTIFS('Bank Statement'!$B$5:$B$104,B57,'Bank Statement'!$D$5:$D$104,D57)&gt;0,"Yes","No"))</f>
        <v/>
      </c>
    </row>
    <row r="58" customFormat="false" ht="15" hidden="false" customHeight="false" outlineLevel="0" collapsed="false">
      <c r="A58" s="24"/>
      <c r="B58" s="25"/>
      <c r="C58" s="25"/>
      <c r="D58" s="26"/>
      <c r="E58" s="25" t="str">
        <f aca="false">IF(B58="","",IF(COUNTIFS('Bank Statement'!$B$5:$B$104,B58,'Bank Statement'!$D$5:$D$104,D58)&gt;0,"Yes","No"))</f>
        <v/>
      </c>
    </row>
    <row r="59" customFormat="false" ht="15" hidden="false" customHeight="false" outlineLevel="0" collapsed="false">
      <c r="A59" s="23"/>
      <c r="B59" s="10"/>
      <c r="C59" s="10"/>
      <c r="D59" s="12"/>
      <c r="E59" s="10" t="str">
        <f aca="false">IF(B59="","",IF(COUNTIFS('Bank Statement'!$B$5:$B$104,B59,'Bank Statement'!$D$5:$D$104,D59)&gt;0,"Yes","No"))</f>
        <v/>
      </c>
    </row>
    <row r="60" customFormat="false" ht="15" hidden="false" customHeight="false" outlineLevel="0" collapsed="false">
      <c r="A60" s="24"/>
      <c r="B60" s="25"/>
      <c r="C60" s="25"/>
      <c r="D60" s="26"/>
      <c r="E60" s="25" t="str">
        <f aca="false">IF(B60="","",IF(COUNTIFS('Bank Statement'!$B$5:$B$104,B60,'Bank Statement'!$D$5:$D$104,D60)&gt;0,"Yes","No"))</f>
        <v/>
      </c>
    </row>
    <row r="61" customFormat="false" ht="15" hidden="false" customHeight="false" outlineLevel="0" collapsed="false">
      <c r="A61" s="23"/>
      <c r="B61" s="10"/>
      <c r="C61" s="10"/>
      <c r="D61" s="12"/>
      <c r="E61" s="10" t="str">
        <f aca="false">IF(B61="","",IF(COUNTIFS('Bank Statement'!$B$5:$B$104,B61,'Bank Statement'!$D$5:$D$104,D61)&gt;0,"Yes","No"))</f>
        <v/>
      </c>
    </row>
    <row r="62" customFormat="false" ht="15" hidden="false" customHeight="false" outlineLevel="0" collapsed="false">
      <c r="A62" s="24"/>
      <c r="B62" s="25"/>
      <c r="C62" s="25"/>
      <c r="D62" s="26"/>
      <c r="E62" s="25" t="str">
        <f aca="false">IF(B62="","",IF(COUNTIFS('Bank Statement'!$B$5:$B$104,B62,'Bank Statement'!$D$5:$D$104,D62)&gt;0,"Yes","No"))</f>
        <v/>
      </c>
    </row>
    <row r="63" customFormat="false" ht="15" hidden="false" customHeight="false" outlineLevel="0" collapsed="false">
      <c r="A63" s="23"/>
      <c r="B63" s="10"/>
      <c r="C63" s="10"/>
      <c r="D63" s="12"/>
      <c r="E63" s="10" t="str">
        <f aca="false">IF(B63="","",IF(COUNTIFS('Bank Statement'!$B$5:$B$104,B63,'Bank Statement'!$D$5:$D$104,D63)&gt;0,"Yes","No"))</f>
        <v/>
      </c>
    </row>
    <row r="64" customFormat="false" ht="15" hidden="false" customHeight="false" outlineLevel="0" collapsed="false">
      <c r="A64" s="24"/>
      <c r="B64" s="25"/>
      <c r="C64" s="25"/>
      <c r="D64" s="26"/>
      <c r="E64" s="25" t="str">
        <f aca="false">IF(B64="","",IF(COUNTIFS('Bank Statement'!$B$5:$B$104,B64,'Bank Statement'!$D$5:$D$104,D64)&gt;0,"Yes","No"))</f>
        <v/>
      </c>
    </row>
    <row r="65" customFormat="false" ht="15" hidden="false" customHeight="false" outlineLevel="0" collapsed="false">
      <c r="A65" s="23"/>
      <c r="B65" s="10"/>
      <c r="C65" s="10"/>
      <c r="D65" s="12"/>
      <c r="E65" s="10" t="str">
        <f aca="false">IF(B65="","",IF(COUNTIFS('Bank Statement'!$B$5:$B$104,B65,'Bank Statement'!$D$5:$D$104,D65)&gt;0,"Yes","No"))</f>
        <v/>
      </c>
    </row>
    <row r="66" customFormat="false" ht="15" hidden="false" customHeight="false" outlineLevel="0" collapsed="false">
      <c r="A66" s="24"/>
      <c r="B66" s="25"/>
      <c r="C66" s="25"/>
      <c r="D66" s="26"/>
      <c r="E66" s="25" t="str">
        <f aca="false">IF(B66="","",IF(COUNTIFS('Bank Statement'!$B$5:$B$104,B66,'Bank Statement'!$D$5:$D$104,D66)&gt;0,"Yes","No"))</f>
        <v/>
      </c>
    </row>
    <row r="67" customFormat="false" ht="15" hidden="false" customHeight="false" outlineLevel="0" collapsed="false">
      <c r="A67" s="23"/>
      <c r="B67" s="10"/>
      <c r="C67" s="10"/>
      <c r="D67" s="12"/>
      <c r="E67" s="10" t="str">
        <f aca="false">IF(B67="","",IF(COUNTIFS('Bank Statement'!$B$5:$B$104,B67,'Bank Statement'!$D$5:$D$104,D67)&gt;0,"Yes","No"))</f>
        <v/>
      </c>
    </row>
    <row r="68" customFormat="false" ht="15" hidden="false" customHeight="false" outlineLevel="0" collapsed="false">
      <c r="A68" s="24"/>
      <c r="B68" s="25"/>
      <c r="C68" s="25"/>
      <c r="D68" s="26"/>
      <c r="E68" s="25" t="str">
        <f aca="false">IF(B68="","",IF(COUNTIFS('Bank Statement'!$B$5:$B$104,B68,'Bank Statement'!$D$5:$D$104,D68)&gt;0,"Yes","No"))</f>
        <v/>
      </c>
    </row>
    <row r="69" customFormat="false" ht="15" hidden="false" customHeight="false" outlineLevel="0" collapsed="false">
      <c r="A69" s="23"/>
      <c r="B69" s="10"/>
      <c r="C69" s="10"/>
      <c r="D69" s="12"/>
      <c r="E69" s="10" t="str">
        <f aca="false">IF(B69="","",IF(COUNTIFS('Bank Statement'!$B$5:$B$104,B69,'Bank Statement'!$D$5:$D$104,D69)&gt;0,"Yes","No"))</f>
        <v/>
      </c>
    </row>
    <row r="70" customFormat="false" ht="15" hidden="false" customHeight="false" outlineLevel="0" collapsed="false">
      <c r="A70" s="24"/>
      <c r="B70" s="25"/>
      <c r="C70" s="25"/>
      <c r="D70" s="26"/>
      <c r="E70" s="25" t="str">
        <f aca="false">IF(B70="","",IF(COUNTIFS('Bank Statement'!$B$5:$B$104,B70,'Bank Statement'!$D$5:$D$104,D70)&gt;0,"Yes","No"))</f>
        <v/>
      </c>
    </row>
    <row r="71" customFormat="false" ht="15" hidden="false" customHeight="false" outlineLevel="0" collapsed="false">
      <c r="A71" s="23"/>
      <c r="B71" s="10"/>
      <c r="C71" s="10"/>
      <c r="D71" s="12"/>
      <c r="E71" s="10" t="str">
        <f aca="false">IF(B71="","",IF(COUNTIFS('Bank Statement'!$B$5:$B$104,B71,'Bank Statement'!$D$5:$D$104,D71)&gt;0,"Yes","No"))</f>
        <v/>
      </c>
    </row>
    <row r="72" customFormat="false" ht="15" hidden="false" customHeight="false" outlineLevel="0" collapsed="false">
      <c r="A72" s="24"/>
      <c r="B72" s="25"/>
      <c r="C72" s="25"/>
      <c r="D72" s="26"/>
      <c r="E72" s="25" t="str">
        <f aca="false">IF(B72="","",IF(COUNTIFS('Bank Statement'!$B$5:$B$104,B72,'Bank Statement'!$D$5:$D$104,D72)&gt;0,"Yes","No"))</f>
        <v/>
      </c>
    </row>
    <row r="73" customFormat="false" ht="15" hidden="false" customHeight="false" outlineLevel="0" collapsed="false">
      <c r="A73" s="23"/>
      <c r="B73" s="10"/>
      <c r="C73" s="10"/>
      <c r="D73" s="12"/>
      <c r="E73" s="10" t="str">
        <f aca="false">IF(B73="","",IF(COUNTIFS('Bank Statement'!$B$5:$B$104,B73,'Bank Statement'!$D$5:$D$104,D73)&gt;0,"Yes","No"))</f>
        <v/>
      </c>
    </row>
    <row r="74" customFormat="false" ht="15" hidden="false" customHeight="false" outlineLevel="0" collapsed="false">
      <c r="A74" s="24"/>
      <c r="B74" s="25"/>
      <c r="C74" s="25"/>
      <c r="D74" s="26"/>
      <c r="E74" s="25" t="str">
        <f aca="false">IF(B74="","",IF(COUNTIFS('Bank Statement'!$B$5:$B$104,B74,'Bank Statement'!$D$5:$D$104,D74)&gt;0,"Yes","No"))</f>
        <v/>
      </c>
    </row>
    <row r="75" customFormat="false" ht="15" hidden="false" customHeight="false" outlineLevel="0" collapsed="false">
      <c r="A75" s="23"/>
      <c r="B75" s="10"/>
      <c r="C75" s="10"/>
      <c r="D75" s="12"/>
      <c r="E75" s="10" t="str">
        <f aca="false">IF(B75="","",IF(COUNTIFS('Bank Statement'!$B$5:$B$104,B75,'Bank Statement'!$D$5:$D$104,D75)&gt;0,"Yes","No"))</f>
        <v/>
      </c>
    </row>
    <row r="76" customFormat="false" ht="15" hidden="false" customHeight="false" outlineLevel="0" collapsed="false">
      <c r="A76" s="24"/>
      <c r="B76" s="25"/>
      <c r="C76" s="25"/>
      <c r="D76" s="26"/>
      <c r="E76" s="25" t="str">
        <f aca="false">IF(B76="","",IF(COUNTIFS('Bank Statement'!$B$5:$B$104,B76,'Bank Statement'!$D$5:$D$104,D76)&gt;0,"Yes","No"))</f>
        <v/>
      </c>
    </row>
    <row r="77" customFormat="false" ht="15" hidden="false" customHeight="false" outlineLevel="0" collapsed="false">
      <c r="A77" s="23"/>
      <c r="B77" s="10"/>
      <c r="C77" s="10"/>
      <c r="D77" s="12"/>
      <c r="E77" s="10" t="str">
        <f aca="false">IF(B77="","",IF(COUNTIFS('Bank Statement'!$B$5:$B$104,B77,'Bank Statement'!$D$5:$D$104,D77)&gt;0,"Yes","No"))</f>
        <v/>
      </c>
    </row>
    <row r="78" customFormat="false" ht="15" hidden="false" customHeight="false" outlineLevel="0" collapsed="false">
      <c r="A78" s="24"/>
      <c r="B78" s="25"/>
      <c r="C78" s="25"/>
      <c r="D78" s="26"/>
      <c r="E78" s="25" t="str">
        <f aca="false">IF(B78="","",IF(COUNTIFS('Bank Statement'!$B$5:$B$104,B78,'Bank Statement'!$D$5:$D$104,D78)&gt;0,"Yes","No"))</f>
        <v/>
      </c>
    </row>
    <row r="79" customFormat="false" ht="15" hidden="false" customHeight="false" outlineLevel="0" collapsed="false">
      <c r="A79" s="23"/>
      <c r="B79" s="10"/>
      <c r="C79" s="10"/>
      <c r="D79" s="12"/>
      <c r="E79" s="10" t="str">
        <f aca="false">IF(B79="","",IF(COUNTIFS('Bank Statement'!$B$5:$B$104,B79,'Bank Statement'!$D$5:$D$104,D79)&gt;0,"Yes","No"))</f>
        <v/>
      </c>
    </row>
    <row r="80" customFormat="false" ht="15" hidden="false" customHeight="false" outlineLevel="0" collapsed="false">
      <c r="A80" s="24"/>
      <c r="B80" s="25"/>
      <c r="C80" s="25"/>
      <c r="D80" s="26"/>
      <c r="E80" s="25" t="str">
        <f aca="false">IF(B80="","",IF(COUNTIFS('Bank Statement'!$B$5:$B$104,B80,'Bank Statement'!$D$5:$D$104,D80)&gt;0,"Yes","No"))</f>
        <v/>
      </c>
    </row>
    <row r="81" customFormat="false" ht="15" hidden="false" customHeight="false" outlineLevel="0" collapsed="false">
      <c r="A81" s="23"/>
      <c r="B81" s="10"/>
      <c r="C81" s="10"/>
      <c r="D81" s="12"/>
      <c r="E81" s="10" t="str">
        <f aca="false">IF(B81="","",IF(COUNTIFS('Bank Statement'!$B$5:$B$104,B81,'Bank Statement'!$D$5:$D$104,D81)&gt;0,"Yes","No"))</f>
        <v/>
      </c>
    </row>
    <row r="82" customFormat="false" ht="15" hidden="false" customHeight="false" outlineLevel="0" collapsed="false">
      <c r="A82" s="24"/>
      <c r="B82" s="25"/>
      <c r="C82" s="25"/>
      <c r="D82" s="26"/>
      <c r="E82" s="25" t="str">
        <f aca="false">IF(B82="","",IF(COUNTIFS('Bank Statement'!$B$5:$B$104,B82,'Bank Statement'!$D$5:$D$104,D82)&gt;0,"Yes","No"))</f>
        <v/>
      </c>
    </row>
    <row r="83" customFormat="false" ht="15" hidden="false" customHeight="false" outlineLevel="0" collapsed="false">
      <c r="A83" s="23"/>
      <c r="B83" s="10"/>
      <c r="C83" s="10"/>
      <c r="D83" s="12"/>
      <c r="E83" s="10" t="str">
        <f aca="false">IF(B83="","",IF(COUNTIFS('Bank Statement'!$B$5:$B$104,B83,'Bank Statement'!$D$5:$D$104,D83)&gt;0,"Yes","No"))</f>
        <v/>
      </c>
    </row>
    <row r="84" customFormat="false" ht="15" hidden="false" customHeight="false" outlineLevel="0" collapsed="false">
      <c r="A84" s="24"/>
      <c r="B84" s="25"/>
      <c r="C84" s="25"/>
      <c r="D84" s="26"/>
      <c r="E84" s="25" t="str">
        <f aca="false">IF(B84="","",IF(COUNTIFS('Bank Statement'!$B$5:$B$104,B84,'Bank Statement'!$D$5:$D$104,D84)&gt;0,"Yes","No"))</f>
        <v/>
      </c>
    </row>
    <row r="85" customFormat="false" ht="15" hidden="false" customHeight="false" outlineLevel="0" collapsed="false">
      <c r="A85" s="23"/>
      <c r="B85" s="10"/>
      <c r="C85" s="10"/>
      <c r="D85" s="12"/>
      <c r="E85" s="10" t="str">
        <f aca="false">IF(B85="","",IF(COUNTIFS('Bank Statement'!$B$5:$B$104,B85,'Bank Statement'!$D$5:$D$104,D85)&gt;0,"Yes","No"))</f>
        <v/>
      </c>
    </row>
    <row r="86" customFormat="false" ht="15" hidden="false" customHeight="false" outlineLevel="0" collapsed="false">
      <c r="A86" s="24"/>
      <c r="B86" s="25"/>
      <c r="C86" s="25"/>
      <c r="D86" s="26"/>
      <c r="E86" s="25" t="str">
        <f aca="false">IF(B86="","",IF(COUNTIFS('Bank Statement'!$B$5:$B$104,B86,'Bank Statement'!$D$5:$D$104,D86)&gt;0,"Yes","No"))</f>
        <v/>
      </c>
    </row>
    <row r="87" customFormat="false" ht="15" hidden="false" customHeight="false" outlineLevel="0" collapsed="false">
      <c r="A87" s="23"/>
      <c r="B87" s="10"/>
      <c r="C87" s="10"/>
      <c r="D87" s="12"/>
      <c r="E87" s="10" t="str">
        <f aca="false">IF(B87="","",IF(COUNTIFS('Bank Statement'!$B$5:$B$104,B87,'Bank Statement'!$D$5:$D$104,D87)&gt;0,"Yes","No"))</f>
        <v/>
      </c>
    </row>
    <row r="88" customFormat="false" ht="15" hidden="false" customHeight="false" outlineLevel="0" collapsed="false">
      <c r="A88" s="24"/>
      <c r="B88" s="25"/>
      <c r="C88" s="25"/>
      <c r="D88" s="26"/>
      <c r="E88" s="25" t="str">
        <f aca="false">IF(B88="","",IF(COUNTIFS('Bank Statement'!$B$5:$B$104,B88,'Bank Statement'!$D$5:$D$104,D88)&gt;0,"Yes","No"))</f>
        <v/>
      </c>
    </row>
    <row r="89" customFormat="false" ht="15" hidden="false" customHeight="false" outlineLevel="0" collapsed="false">
      <c r="A89" s="23"/>
      <c r="B89" s="10"/>
      <c r="C89" s="10"/>
      <c r="D89" s="12"/>
      <c r="E89" s="10" t="str">
        <f aca="false">IF(B89="","",IF(COUNTIFS('Bank Statement'!$B$5:$B$104,B89,'Bank Statement'!$D$5:$D$104,D89)&gt;0,"Yes","No"))</f>
        <v/>
      </c>
    </row>
    <row r="90" customFormat="false" ht="15" hidden="false" customHeight="false" outlineLevel="0" collapsed="false">
      <c r="A90" s="24"/>
      <c r="B90" s="25"/>
      <c r="C90" s="25"/>
      <c r="D90" s="26"/>
      <c r="E90" s="25" t="str">
        <f aca="false">IF(B90="","",IF(COUNTIFS('Bank Statement'!$B$5:$B$104,B90,'Bank Statement'!$D$5:$D$104,D90)&gt;0,"Yes","No"))</f>
        <v/>
      </c>
    </row>
    <row r="91" customFormat="false" ht="15" hidden="false" customHeight="false" outlineLevel="0" collapsed="false">
      <c r="A91" s="23"/>
      <c r="B91" s="10"/>
      <c r="C91" s="10"/>
      <c r="D91" s="12"/>
      <c r="E91" s="10" t="str">
        <f aca="false">IF(B91="","",IF(COUNTIFS('Bank Statement'!$B$5:$B$104,B91,'Bank Statement'!$D$5:$D$104,D91)&gt;0,"Yes","No"))</f>
        <v/>
      </c>
    </row>
    <row r="92" customFormat="false" ht="15" hidden="false" customHeight="false" outlineLevel="0" collapsed="false">
      <c r="A92" s="24"/>
      <c r="B92" s="25"/>
      <c r="C92" s="25"/>
      <c r="D92" s="26"/>
      <c r="E92" s="25" t="str">
        <f aca="false">IF(B92="","",IF(COUNTIFS('Bank Statement'!$B$5:$B$104,B92,'Bank Statement'!$D$5:$D$104,D92)&gt;0,"Yes","No"))</f>
        <v/>
      </c>
    </row>
    <row r="93" customFormat="false" ht="15" hidden="false" customHeight="false" outlineLevel="0" collapsed="false">
      <c r="A93" s="23"/>
      <c r="B93" s="10"/>
      <c r="C93" s="10"/>
      <c r="D93" s="12"/>
      <c r="E93" s="10" t="str">
        <f aca="false">IF(B93="","",IF(COUNTIFS('Bank Statement'!$B$5:$B$104,B93,'Bank Statement'!$D$5:$D$104,D93)&gt;0,"Yes","No"))</f>
        <v/>
      </c>
    </row>
    <row r="94" customFormat="false" ht="15" hidden="false" customHeight="false" outlineLevel="0" collapsed="false">
      <c r="A94" s="24"/>
      <c r="B94" s="25"/>
      <c r="C94" s="25"/>
      <c r="D94" s="26"/>
      <c r="E94" s="25" t="str">
        <f aca="false">IF(B94="","",IF(COUNTIFS('Bank Statement'!$B$5:$B$104,B94,'Bank Statement'!$D$5:$D$104,D94)&gt;0,"Yes","No"))</f>
        <v/>
      </c>
    </row>
    <row r="95" customFormat="false" ht="15" hidden="false" customHeight="false" outlineLevel="0" collapsed="false">
      <c r="A95" s="23"/>
      <c r="B95" s="10"/>
      <c r="C95" s="10"/>
      <c r="D95" s="12"/>
      <c r="E95" s="10" t="str">
        <f aca="false">IF(B95="","",IF(COUNTIFS('Bank Statement'!$B$5:$B$104,B95,'Bank Statement'!$D$5:$D$104,D95)&gt;0,"Yes","No"))</f>
        <v/>
      </c>
    </row>
    <row r="96" customFormat="false" ht="15" hidden="false" customHeight="false" outlineLevel="0" collapsed="false">
      <c r="A96" s="24"/>
      <c r="B96" s="25"/>
      <c r="C96" s="25"/>
      <c r="D96" s="26"/>
      <c r="E96" s="25" t="str">
        <f aca="false">IF(B96="","",IF(COUNTIFS('Bank Statement'!$B$5:$B$104,B96,'Bank Statement'!$D$5:$D$104,D96)&gt;0,"Yes","No"))</f>
        <v/>
      </c>
    </row>
    <row r="97" customFormat="false" ht="15" hidden="false" customHeight="false" outlineLevel="0" collapsed="false">
      <c r="A97" s="23"/>
      <c r="B97" s="10"/>
      <c r="C97" s="10"/>
      <c r="D97" s="12"/>
      <c r="E97" s="10" t="str">
        <f aca="false">IF(B97="","",IF(COUNTIFS('Bank Statement'!$B$5:$B$104,B97,'Bank Statement'!$D$5:$D$104,D97)&gt;0,"Yes","No"))</f>
        <v/>
      </c>
    </row>
    <row r="98" customFormat="false" ht="15" hidden="false" customHeight="false" outlineLevel="0" collapsed="false">
      <c r="A98" s="24"/>
      <c r="B98" s="25"/>
      <c r="C98" s="25"/>
      <c r="D98" s="26"/>
      <c r="E98" s="25" t="str">
        <f aca="false">IF(B98="","",IF(COUNTIFS('Bank Statement'!$B$5:$B$104,B98,'Bank Statement'!$D$5:$D$104,D98)&gt;0,"Yes","No"))</f>
        <v/>
      </c>
    </row>
    <row r="99" customFormat="false" ht="15" hidden="false" customHeight="false" outlineLevel="0" collapsed="false">
      <c r="A99" s="23"/>
      <c r="B99" s="10"/>
      <c r="C99" s="10"/>
      <c r="D99" s="12"/>
      <c r="E99" s="10" t="str">
        <f aca="false">IF(B99="","",IF(COUNTIFS('Bank Statement'!$B$5:$B$104,B99,'Bank Statement'!$D$5:$D$104,D99)&gt;0,"Yes","No"))</f>
        <v/>
      </c>
    </row>
    <row r="100" customFormat="false" ht="15" hidden="false" customHeight="false" outlineLevel="0" collapsed="false">
      <c r="A100" s="24"/>
      <c r="B100" s="25"/>
      <c r="C100" s="25"/>
      <c r="D100" s="26"/>
      <c r="E100" s="25" t="str">
        <f aca="false">IF(B100="","",IF(COUNTIFS('Bank Statement'!$B$5:$B$104,B100,'Bank Statement'!$D$5:$D$104,D100)&gt;0,"Yes","No"))</f>
        <v/>
      </c>
    </row>
    <row r="101" customFormat="false" ht="15" hidden="false" customHeight="false" outlineLevel="0" collapsed="false">
      <c r="A101" s="23"/>
      <c r="B101" s="10"/>
      <c r="C101" s="10"/>
      <c r="D101" s="12"/>
      <c r="E101" s="10" t="str">
        <f aca="false">IF(B101="","",IF(COUNTIFS('Bank Statement'!$B$5:$B$104,B101,'Bank Statement'!$D$5:$D$104,D101)&gt;0,"Yes","No"))</f>
        <v/>
      </c>
    </row>
    <row r="102" customFormat="false" ht="15" hidden="false" customHeight="false" outlineLevel="0" collapsed="false">
      <c r="A102" s="24"/>
      <c r="B102" s="25"/>
      <c r="C102" s="25"/>
      <c r="D102" s="26"/>
      <c r="E102" s="25" t="str">
        <f aca="false">IF(B102="","",IF(COUNTIFS('Bank Statement'!$B$5:$B$104,B102,'Bank Statement'!$D$5:$D$104,D102)&gt;0,"Yes","No"))</f>
        <v/>
      </c>
    </row>
    <row r="103" customFormat="false" ht="15" hidden="false" customHeight="false" outlineLevel="0" collapsed="false">
      <c r="A103" s="23"/>
      <c r="B103" s="10"/>
      <c r="C103" s="10"/>
      <c r="D103" s="12"/>
      <c r="E103" s="10" t="str">
        <f aca="false">IF(B103="","",IF(COUNTIFS('Bank Statement'!$B$5:$B$104,B103,'Bank Statement'!$D$5:$D$104,D103)&gt;0,"Yes","No"))</f>
        <v/>
      </c>
    </row>
    <row r="104" customFormat="false" ht="15" hidden="false" customHeight="false" outlineLevel="0" collapsed="false">
      <c r="A104" s="24"/>
      <c r="B104" s="25"/>
      <c r="C104" s="25"/>
      <c r="D104" s="26"/>
      <c r="E104" s="25" t="str">
        <f aca="false">IF(B104="","",IF(COUNTIFS('Bank Statement'!$B$5:$B$104,B104,'Bank Statement'!$D$5:$D$104,D104)&gt;0,"Yes","No"))</f>
        <v/>
      </c>
    </row>
  </sheetData>
  <conditionalFormatting sqref="E5:E104">
    <cfRule type="cellIs" priority="2" operator="equal" aboveAverage="0" equalAverage="0" bottom="0" percent="0" rank="0" text="" dxfId="1">
      <formula>"No"</formula>
    </cfRule>
    <cfRule type="cellIs" priority="3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3"/>
    <col collapsed="false" customWidth="true" hidden="false" outlineLevel="0" max="12" min="12" style="0" width="74"/>
  </cols>
  <sheetData>
    <row r="1" customFormat="false" ht="27.75" hidden="false" customHeight="true" outlineLevel="0" collapsed="false">
      <c r="A1" s="1" t="s">
        <v>61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21" t="s">
        <v>62</v>
      </c>
      <c r="B4" s="21" t="s">
        <v>50</v>
      </c>
      <c r="C4" s="21" t="s">
        <v>63</v>
      </c>
      <c r="D4" s="21" t="s">
        <v>7</v>
      </c>
      <c r="E4" s="21" t="s">
        <v>64</v>
      </c>
      <c r="F4" s="21" t="s">
        <v>65</v>
      </c>
      <c r="G4" s="21" t="s">
        <v>66</v>
      </c>
      <c r="H4" s="21" t="s">
        <v>67</v>
      </c>
      <c r="I4" s="22" t="s">
        <v>24</v>
      </c>
      <c r="J4" s="22" t="s">
        <v>68</v>
      </c>
      <c r="L4" s="6" t="s">
        <v>69</v>
      </c>
    </row>
    <row r="5" customFormat="false" ht="15" hidden="false" customHeight="false" outlineLevel="0" collapsed="false">
      <c r="A5" s="23"/>
      <c r="B5" s="10"/>
      <c r="C5" s="10"/>
      <c r="D5" s="12"/>
      <c r="E5" s="10"/>
      <c r="F5" s="10"/>
      <c r="G5" s="10"/>
      <c r="H5" s="23"/>
      <c r="I5" s="10" t="str">
        <f aca="false">IF(AND(B5="",D5=""),"",IF(H5&lt;&gt;"","Cleared","Open"))</f>
        <v/>
      </c>
      <c r="J5" s="27" t="str">
        <f aca="true">IF(OR(A5="",H5&lt;&gt;""),"",TODAY()-A5)</f>
        <v/>
      </c>
      <c r="L5" s="9" t="s">
        <v>70</v>
      </c>
    </row>
    <row r="6" customFormat="false" ht="15" hidden="false" customHeight="false" outlineLevel="0" collapsed="false">
      <c r="A6" s="24"/>
      <c r="B6" s="25"/>
      <c r="C6" s="25"/>
      <c r="D6" s="26"/>
      <c r="E6" s="25"/>
      <c r="F6" s="25"/>
      <c r="G6" s="25"/>
      <c r="H6" s="24"/>
      <c r="I6" s="25" t="str">
        <f aca="false">IF(AND(B6="",D6=""),"",IF(H6&lt;&gt;"","Cleared","Open"))</f>
        <v/>
      </c>
      <c r="J6" s="28" t="str">
        <f aca="true">IF(OR(A6="",H6&lt;&gt;""),"",TODAY()-A6)</f>
        <v/>
      </c>
      <c r="L6" s="9" t="s">
        <v>71</v>
      </c>
    </row>
    <row r="7" customFormat="false" ht="15" hidden="false" customHeight="false" outlineLevel="0" collapsed="false">
      <c r="A7" s="23"/>
      <c r="B7" s="10"/>
      <c r="C7" s="10"/>
      <c r="D7" s="12"/>
      <c r="E7" s="10"/>
      <c r="F7" s="10"/>
      <c r="G7" s="10"/>
      <c r="H7" s="23"/>
      <c r="I7" s="10" t="str">
        <f aca="false">IF(AND(B7="",D7=""),"",IF(H7&lt;&gt;"","Cleared","Open"))</f>
        <v/>
      </c>
      <c r="J7" s="27" t="str">
        <f aca="true">IF(OR(A7="",H7&lt;&gt;""),"",TODAY()-A7)</f>
        <v/>
      </c>
      <c r="L7" s="9" t="s">
        <v>72</v>
      </c>
    </row>
    <row r="8" customFormat="false" ht="15" hidden="false" customHeight="false" outlineLevel="0" collapsed="false">
      <c r="A8" s="24"/>
      <c r="B8" s="25"/>
      <c r="C8" s="25"/>
      <c r="D8" s="26"/>
      <c r="E8" s="25"/>
      <c r="F8" s="25"/>
      <c r="G8" s="25"/>
      <c r="H8" s="24"/>
      <c r="I8" s="25" t="str">
        <f aca="false">IF(AND(B8="",D8=""),"",IF(H8&lt;&gt;"","Cleared","Open"))</f>
        <v/>
      </c>
      <c r="J8" s="28" t="str">
        <f aca="true">IF(OR(A8="",H8&lt;&gt;""),"",TODAY()-A8)</f>
        <v/>
      </c>
      <c r="L8" s="9" t="s">
        <v>73</v>
      </c>
    </row>
    <row r="9" customFormat="false" ht="15" hidden="false" customHeight="false" outlineLevel="0" collapsed="false">
      <c r="A9" s="23"/>
      <c r="B9" s="10"/>
      <c r="C9" s="10"/>
      <c r="D9" s="12"/>
      <c r="E9" s="10"/>
      <c r="F9" s="10"/>
      <c r="G9" s="10"/>
      <c r="H9" s="23"/>
      <c r="I9" s="10" t="str">
        <f aca="false">IF(AND(B9="",D9=""),"",IF(H9&lt;&gt;"","Cleared","Open"))</f>
        <v/>
      </c>
      <c r="J9" s="27" t="str">
        <f aca="true">IF(OR(A9="",H9&lt;&gt;""),"",TODAY()-A9)</f>
        <v/>
      </c>
      <c r="L9" s="9" t="s">
        <v>74</v>
      </c>
    </row>
    <row r="10" customFormat="false" ht="15" hidden="false" customHeight="false" outlineLevel="0" collapsed="false">
      <c r="A10" s="24"/>
      <c r="B10" s="25"/>
      <c r="C10" s="25"/>
      <c r="D10" s="26"/>
      <c r="E10" s="25"/>
      <c r="F10" s="25"/>
      <c r="G10" s="25"/>
      <c r="H10" s="24"/>
      <c r="I10" s="25" t="str">
        <f aca="false">IF(AND(B10="",D10=""),"",IF(H10&lt;&gt;"","Cleared","Open"))</f>
        <v/>
      </c>
      <c r="J10" s="28" t="str">
        <f aca="true">IF(OR(A10="",H10&lt;&gt;""),"",TODAY()-A10)</f>
        <v/>
      </c>
      <c r="L10" s="9" t="s">
        <v>75</v>
      </c>
    </row>
    <row r="11" customFormat="false" ht="15" hidden="false" customHeight="false" outlineLevel="0" collapsed="false">
      <c r="A11" s="23"/>
      <c r="B11" s="10"/>
      <c r="C11" s="10"/>
      <c r="D11" s="12"/>
      <c r="E11" s="10"/>
      <c r="F11" s="10"/>
      <c r="G11" s="10"/>
      <c r="H11" s="23"/>
      <c r="I11" s="10" t="str">
        <f aca="false">IF(AND(B11="",D11=""),"",IF(H11&lt;&gt;"","Cleared","Open"))</f>
        <v/>
      </c>
      <c r="J11" s="27" t="str">
        <f aca="true">IF(OR(A11="",H11&lt;&gt;""),"",TODAY()-A11)</f>
        <v/>
      </c>
      <c r="L11" s="9"/>
    </row>
    <row r="12" customFormat="false" ht="15" hidden="false" customHeight="false" outlineLevel="0" collapsed="false">
      <c r="A12" s="24"/>
      <c r="B12" s="25"/>
      <c r="C12" s="25"/>
      <c r="D12" s="26"/>
      <c r="E12" s="25"/>
      <c r="F12" s="25"/>
      <c r="G12" s="25"/>
      <c r="H12" s="24"/>
      <c r="I12" s="25" t="str">
        <f aca="false">IF(AND(B12="",D12=""),"",IF(H12&lt;&gt;"","Cleared","Open"))</f>
        <v/>
      </c>
      <c r="J12" s="28" t="str">
        <f aca="true">IF(OR(A12="",H12&lt;&gt;""),"",TODAY()-A12)</f>
        <v/>
      </c>
      <c r="L12" s="7" t="s">
        <v>43</v>
      </c>
    </row>
    <row r="13" customFormat="false" ht="15" hidden="false" customHeight="false" outlineLevel="0" collapsed="false">
      <c r="A13" s="23"/>
      <c r="B13" s="10"/>
      <c r="C13" s="10"/>
      <c r="D13" s="12"/>
      <c r="E13" s="10"/>
      <c r="F13" s="10"/>
      <c r="G13" s="10"/>
      <c r="H13" s="23"/>
      <c r="I13" s="10" t="str">
        <f aca="false">IF(AND(B13="",D13=""),"",IF(H13&lt;&gt;"","Cleared","Open"))</f>
        <v/>
      </c>
      <c r="J13" s="27" t="str">
        <f aca="true">IF(OR(A13="",H13&lt;&gt;""),"",TODAY()-A13)</f>
        <v/>
      </c>
      <c r="L13" s="9" t="s">
        <v>44</v>
      </c>
    </row>
    <row r="14" customFormat="false" ht="15" hidden="false" customHeight="false" outlineLevel="0" collapsed="false">
      <c r="A14" s="24"/>
      <c r="B14" s="25"/>
      <c r="C14" s="25"/>
      <c r="D14" s="26"/>
      <c r="E14" s="25"/>
      <c r="F14" s="25"/>
      <c r="G14" s="25"/>
      <c r="H14" s="24"/>
      <c r="I14" s="25" t="str">
        <f aca="false">IF(AND(B14="",D14=""),"",IF(H14&lt;&gt;"","Cleared","Open"))</f>
        <v/>
      </c>
      <c r="J14" s="28" t="str">
        <f aca="true">IF(OR(A14="",H14&lt;&gt;""),"",TODAY()-A14)</f>
        <v/>
      </c>
      <c r="L14" s="9" t="s">
        <v>45</v>
      </c>
    </row>
    <row r="15" customFormat="false" ht="15" hidden="false" customHeight="false" outlineLevel="0" collapsed="false">
      <c r="A15" s="23"/>
      <c r="B15" s="10"/>
      <c r="C15" s="10"/>
      <c r="D15" s="12"/>
      <c r="E15" s="10"/>
      <c r="F15" s="10"/>
      <c r="G15" s="10"/>
      <c r="H15" s="23"/>
      <c r="I15" s="10" t="str">
        <f aca="false">IF(AND(B15="",D15=""),"",IF(H15&lt;&gt;"","Cleared","Open"))</f>
        <v/>
      </c>
      <c r="J15" s="27" t="str">
        <f aca="true">IF(OR(A15="",H15&lt;&gt;""),"",TODAY()-A15)</f>
        <v/>
      </c>
      <c r="L15" s="9" t="s">
        <v>46</v>
      </c>
    </row>
    <row r="16" customFormat="false" ht="15" hidden="false" customHeight="false" outlineLevel="0" collapsed="false">
      <c r="A16" s="24"/>
      <c r="B16" s="25"/>
      <c r="C16" s="25"/>
      <c r="D16" s="26"/>
      <c r="E16" s="25"/>
      <c r="F16" s="25"/>
      <c r="G16" s="25"/>
      <c r="H16" s="24"/>
      <c r="I16" s="25" t="str">
        <f aca="false">IF(AND(B16="",D16=""),"",IF(H16&lt;&gt;"","Cleared","Open"))</f>
        <v/>
      </c>
      <c r="J16" s="28" t="str">
        <f aca="true">IF(OR(A16="",H16&lt;&gt;""),"",TODAY()-A16)</f>
        <v/>
      </c>
      <c r="L16" s="20" t="s">
        <v>47</v>
      </c>
    </row>
    <row r="17" customFormat="false" ht="15" hidden="false" customHeight="false" outlineLevel="0" collapsed="false">
      <c r="A17" s="23"/>
      <c r="B17" s="10"/>
      <c r="C17" s="10"/>
      <c r="D17" s="12"/>
      <c r="E17" s="10"/>
      <c r="F17" s="10"/>
      <c r="G17" s="10"/>
      <c r="H17" s="23"/>
      <c r="I17" s="10" t="str">
        <f aca="false">IF(AND(B17="",D17=""),"",IF(H17&lt;&gt;"","Cleared","Open"))</f>
        <v/>
      </c>
      <c r="J17" s="27" t="str">
        <f aca="true">IF(OR(A17="",H17&lt;&gt;""),"",TODAY()-A17)</f>
        <v/>
      </c>
    </row>
    <row r="18" customFormat="false" ht="15" hidden="false" customHeight="false" outlineLevel="0" collapsed="false">
      <c r="A18" s="24"/>
      <c r="B18" s="25"/>
      <c r="C18" s="25"/>
      <c r="D18" s="26"/>
      <c r="E18" s="25"/>
      <c r="F18" s="25"/>
      <c r="G18" s="25"/>
      <c r="H18" s="24"/>
      <c r="I18" s="25" t="str">
        <f aca="false">IF(AND(B18="",D18=""),"",IF(H18&lt;&gt;"","Cleared","Open"))</f>
        <v/>
      </c>
      <c r="J18" s="28" t="str">
        <f aca="true">IF(OR(A18="",H18&lt;&gt;""),"",TODAY()-A18)</f>
        <v/>
      </c>
    </row>
    <row r="19" customFormat="false" ht="15" hidden="false" customHeight="false" outlineLevel="0" collapsed="false">
      <c r="A19" s="23"/>
      <c r="B19" s="10"/>
      <c r="C19" s="10"/>
      <c r="D19" s="12"/>
      <c r="E19" s="10"/>
      <c r="F19" s="10"/>
      <c r="G19" s="10"/>
      <c r="H19" s="23"/>
      <c r="I19" s="10" t="str">
        <f aca="false">IF(AND(B19="",D19=""),"",IF(H19&lt;&gt;"","Cleared","Open"))</f>
        <v/>
      </c>
      <c r="J19" s="27" t="str">
        <f aca="true">IF(OR(A19="",H19&lt;&gt;""),"",TODAY()-A19)</f>
        <v/>
      </c>
    </row>
    <row r="20" customFormat="false" ht="15" hidden="false" customHeight="false" outlineLevel="0" collapsed="false">
      <c r="A20" s="24"/>
      <c r="B20" s="25"/>
      <c r="C20" s="25"/>
      <c r="D20" s="26"/>
      <c r="E20" s="25"/>
      <c r="F20" s="25"/>
      <c r="G20" s="25"/>
      <c r="H20" s="24"/>
      <c r="I20" s="25" t="str">
        <f aca="false">IF(AND(B20="",D20=""),"",IF(H20&lt;&gt;"","Cleared","Open"))</f>
        <v/>
      </c>
      <c r="J20" s="28" t="str">
        <f aca="true">IF(OR(A20="",H20&lt;&gt;""),"",TODAY()-A20)</f>
        <v/>
      </c>
    </row>
    <row r="21" customFormat="false" ht="15" hidden="false" customHeight="false" outlineLevel="0" collapsed="false">
      <c r="A21" s="23"/>
      <c r="B21" s="10"/>
      <c r="C21" s="10"/>
      <c r="D21" s="12"/>
      <c r="E21" s="10"/>
      <c r="F21" s="10"/>
      <c r="G21" s="10"/>
      <c r="H21" s="23"/>
      <c r="I21" s="10" t="str">
        <f aca="false">IF(AND(B21="",D21=""),"",IF(H21&lt;&gt;"","Cleared","Open"))</f>
        <v/>
      </c>
      <c r="J21" s="27" t="str">
        <f aca="true">IF(OR(A21="",H21&lt;&gt;""),"",TODAY()-A21)</f>
        <v/>
      </c>
    </row>
    <row r="22" customFormat="false" ht="15" hidden="false" customHeight="false" outlineLevel="0" collapsed="false">
      <c r="A22" s="24"/>
      <c r="B22" s="25"/>
      <c r="C22" s="25"/>
      <c r="D22" s="26"/>
      <c r="E22" s="25"/>
      <c r="F22" s="25"/>
      <c r="G22" s="25"/>
      <c r="H22" s="24"/>
      <c r="I22" s="25" t="str">
        <f aca="false">IF(AND(B22="",D22=""),"",IF(H22&lt;&gt;"","Cleared","Open"))</f>
        <v/>
      </c>
      <c r="J22" s="28" t="str">
        <f aca="true">IF(OR(A22="",H22&lt;&gt;""),"",TODAY()-A22)</f>
        <v/>
      </c>
    </row>
    <row r="23" customFormat="false" ht="15" hidden="false" customHeight="false" outlineLevel="0" collapsed="false">
      <c r="A23" s="23"/>
      <c r="B23" s="10"/>
      <c r="C23" s="10"/>
      <c r="D23" s="12"/>
      <c r="E23" s="10"/>
      <c r="F23" s="10"/>
      <c r="G23" s="10"/>
      <c r="H23" s="23"/>
      <c r="I23" s="10" t="str">
        <f aca="false">IF(AND(B23="",D23=""),"",IF(H23&lt;&gt;"","Cleared","Open"))</f>
        <v/>
      </c>
      <c r="J23" s="27" t="str">
        <f aca="true">IF(OR(A23="",H23&lt;&gt;""),"",TODAY()-A23)</f>
        <v/>
      </c>
    </row>
    <row r="24" customFormat="false" ht="15" hidden="false" customHeight="false" outlineLevel="0" collapsed="false">
      <c r="A24" s="24"/>
      <c r="B24" s="25"/>
      <c r="C24" s="25"/>
      <c r="D24" s="26"/>
      <c r="E24" s="25"/>
      <c r="F24" s="25"/>
      <c r="G24" s="25"/>
      <c r="H24" s="24"/>
      <c r="I24" s="25" t="str">
        <f aca="false">IF(AND(B24="",D24=""),"",IF(H24&lt;&gt;"","Cleared","Open"))</f>
        <v/>
      </c>
      <c r="J24" s="28" t="str">
        <f aca="true">IF(OR(A24="",H24&lt;&gt;""),"",TODAY()-A24)</f>
        <v/>
      </c>
    </row>
    <row r="25" customFormat="false" ht="15" hidden="false" customHeight="false" outlineLevel="0" collapsed="false">
      <c r="A25" s="23"/>
      <c r="B25" s="10"/>
      <c r="C25" s="10"/>
      <c r="D25" s="12"/>
      <c r="E25" s="10"/>
      <c r="F25" s="10"/>
      <c r="G25" s="10"/>
      <c r="H25" s="23"/>
      <c r="I25" s="10" t="str">
        <f aca="false">IF(AND(B25="",D25=""),"",IF(H25&lt;&gt;"","Cleared","Open"))</f>
        <v/>
      </c>
      <c r="J25" s="27" t="str">
        <f aca="true">IF(OR(A25="",H25&lt;&gt;""),"",TODAY()-A25)</f>
        <v/>
      </c>
    </row>
    <row r="26" customFormat="false" ht="15" hidden="false" customHeight="false" outlineLevel="0" collapsed="false">
      <c r="A26" s="24"/>
      <c r="B26" s="25"/>
      <c r="C26" s="25"/>
      <c r="D26" s="26"/>
      <c r="E26" s="25"/>
      <c r="F26" s="25"/>
      <c r="G26" s="25"/>
      <c r="H26" s="24"/>
      <c r="I26" s="25" t="str">
        <f aca="false">IF(AND(B26="",D26=""),"",IF(H26&lt;&gt;"","Cleared","Open"))</f>
        <v/>
      </c>
      <c r="J26" s="28" t="str">
        <f aca="true">IF(OR(A26="",H26&lt;&gt;""),"",TODAY()-A26)</f>
        <v/>
      </c>
    </row>
    <row r="27" customFormat="false" ht="15" hidden="false" customHeight="false" outlineLevel="0" collapsed="false">
      <c r="A27" s="23"/>
      <c r="B27" s="10"/>
      <c r="C27" s="10"/>
      <c r="D27" s="12"/>
      <c r="E27" s="10"/>
      <c r="F27" s="10"/>
      <c r="G27" s="10"/>
      <c r="H27" s="23"/>
      <c r="I27" s="10" t="str">
        <f aca="false">IF(AND(B27="",D27=""),"",IF(H27&lt;&gt;"","Cleared","Open"))</f>
        <v/>
      </c>
      <c r="J27" s="27" t="str">
        <f aca="true">IF(OR(A27="",H27&lt;&gt;""),"",TODAY()-A27)</f>
        <v/>
      </c>
    </row>
    <row r="28" customFormat="false" ht="15" hidden="false" customHeight="false" outlineLevel="0" collapsed="false">
      <c r="A28" s="24"/>
      <c r="B28" s="25"/>
      <c r="C28" s="25"/>
      <c r="D28" s="26"/>
      <c r="E28" s="25"/>
      <c r="F28" s="25"/>
      <c r="G28" s="25"/>
      <c r="H28" s="24"/>
      <c r="I28" s="25" t="str">
        <f aca="false">IF(AND(B28="",D28=""),"",IF(H28&lt;&gt;"","Cleared","Open"))</f>
        <v/>
      </c>
      <c r="J28" s="28" t="str">
        <f aca="true">IF(OR(A28="",H28&lt;&gt;""),"",TODAY()-A28)</f>
        <v/>
      </c>
    </row>
    <row r="29" customFormat="false" ht="15" hidden="false" customHeight="false" outlineLevel="0" collapsed="false">
      <c r="A29" s="23"/>
      <c r="B29" s="10"/>
      <c r="C29" s="10"/>
      <c r="D29" s="12"/>
      <c r="E29" s="10"/>
      <c r="F29" s="10"/>
      <c r="G29" s="10"/>
      <c r="H29" s="23"/>
      <c r="I29" s="10" t="str">
        <f aca="false">IF(AND(B29="",D29=""),"",IF(H29&lt;&gt;"","Cleared","Open"))</f>
        <v/>
      </c>
      <c r="J29" s="27" t="str">
        <f aca="true">IF(OR(A29="",H29&lt;&gt;""),"",TODAY()-A29)</f>
        <v/>
      </c>
    </row>
    <row r="30" customFormat="false" ht="15" hidden="false" customHeight="false" outlineLevel="0" collapsed="false">
      <c r="A30" s="24"/>
      <c r="B30" s="25"/>
      <c r="C30" s="25"/>
      <c r="D30" s="26"/>
      <c r="E30" s="25"/>
      <c r="F30" s="25"/>
      <c r="G30" s="25"/>
      <c r="H30" s="24"/>
      <c r="I30" s="25" t="str">
        <f aca="false">IF(AND(B30="",D30=""),"",IF(H30&lt;&gt;"","Cleared","Open"))</f>
        <v/>
      </c>
      <c r="J30" s="28" t="str">
        <f aca="true">IF(OR(A30="",H30&lt;&gt;""),"",TODAY()-A30)</f>
        <v/>
      </c>
    </row>
    <row r="31" customFormat="false" ht="15" hidden="false" customHeight="false" outlineLevel="0" collapsed="false">
      <c r="A31" s="23"/>
      <c r="B31" s="10"/>
      <c r="C31" s="10"/>
      <c r="D31" s="12"/>
      <c r="E31" s="10"/>
      <c r="F31" s="10"/>
      <c r="G31" s="10"/>
      <c r="H31" s="23"/>
      <c r="I31" s="10" t="str">
        <f aca="false">IF(AND(B31="",D31=""),"",IF(H31&lt;&gt;"","Cleared","Open"))</f>
        <v/>
      </c>
      <c r="J31" s="27" t="str">
        <f aca="true">IF(OR(A31="",H31&lt;&gt;""),"",TODAY()-A31)</f>
        <v/>
      </c>
    </row>
    <row r="32" customFormat="false" ht="15" hidden="false" customHeight="false" outlineLevel="0" collapsed="false">
      <c r="A32" s="24"/>
      <c r="B32" s="25"/>
      <c r="C32" s="25"/>
      <c r="D32" s="26"/>
      <c r="E32" s="25"/>
      <c r="F32" s="25"/>
      <c r="G32" s="25"/>
      <c r="H32" s="24"/>
      <c r="I32" s="25" t="str">
        <f aca="false">IF(AND(B32="",D32=""),"",IF(H32&lt;&gt;"","Cleared","Open"))</f>
        <v/>
      </c>
      <c r="J32" s="28" t="str">
        <f aca="true">IF(OR(A32="",H32&lt;&gt;""),"",TODAY()-A32)</f>
        <v/>
      </c>
    </row>
    <row r="33" customFormat="false" ht="15" hidden="false" customHeight="false" outlineLevel="0" collapsed="false">
      <c r="A33" s="23"/>
      <c r="B33" s="10"/>
      <c r="C33" s="10"/>
      <c r="D33" s="12"/>
      <c r="E33" s="10"/>
      <c r="F33" s="10"/>
      <c r="G33" s="10"/>
      <c r="H33" s="23"/>
      <c r="I33" s="10" t="str">
        <f aca="false">IF(AND(B33="",D33=""),"",IF(H33&lt;&gt;"","Cleared","Open"))</f>
        <v/>
      </c>
      <c r="J33" s="27" t="str">
        <f aca="true">IF(OR(A33="",H33&lt;&gt;""),"",TODAY()-A33)</f>
        <v/>
      </c>
    </row>
    <row r="34" customFormat="false" ht="15" hidden="false" customHeight="false" outlineLevel="0" collapsed="false">
      <c r="A34" s="24"/>
      <c r="B34" s="25"/>
      <c r="C34" s="25"/>
      <c r="D34" s="26"/>
      <c r="E34" s="25"/>
      <c r="F34" s="25"/>
      <c r="G34" s="25"/>
      <c r="H34" s="24"/>
      <c r="I34" s="25" t="str">
        <f aca="false">IF(AND(B34="",D34=""),"",IF(H34&lt;&gt;"","Cleared","Open"))</f>
        <v/>
      </c>
      <c r="J34" s="28" t="str">
        <f aca="true">IF(OR(A34="",H34&lt;&gt;""),"",TODAY()-A34)</f>
        <v/>
      </c>
    </row>
    <row r="35" customFormat="false" ht="15" hidden="false" customHeight="false" outlineLevel="0" collapsed="false">
      <c r="A35" s="23"/>
      <c r="B35" s="10"/>
      <c r="C35" s="10"/>
      <c r="D35" s="12"/>
      <c r="E35" s="10"/>
      <c r="F35" s="10"/>
      <c r="G35" s="10"/>
      <c r="H35" s="23"/>
      <c r="I35" s="10" t="str">
        <f aca="false">IF(AND(B35="",D35=""),"",IF(H35&lt;&gt;"","Cleared","Open"))</f>
        <v/>
      </c>
      <c r="J35" s="27" t="str">
        <f aca="true">IF(OR(A35="",H35&lt;&gt;""),"",TODAY()-A35)</f>
        <v/>
      </c>
    </row>
    <row r="36" customFormat="false" ht="15" hidden="false" customHeight="false" outlineLevel="0" collapsed="false">
      <c r="A36" s="24"/>
      <c r="B36" s="25"/>
      <c r="C36" s="25"/>
      <c r="D36" s="26"/>
      <c r="E36" s="25"/>
      <c r="F36" s="25"/>
      <c r="G36" s="25"/>
      <c r="H36" s="24"/>
      <c r="I36" s="25" t="str">
        <f aca="false">IF(AND(B36="",D36=""),"",IF(H36&lt;&gt;"","Cleared","Open"))</f>
        <v/>
      </c>
      <c r="J36" s="28" t="str">
        <f aca="true">IF(OR(A36="",H36&lt;&gt;""),"",TODAY()-A36)</f>
        <v/>
      </c>
    </row>
    <row r="37" customFormat="false" ht="15" hidden="false" customHeight="false" outlineLevel="0" collapsed="false">
      <c r="A37" s="23"/>
      <c r="B37" s="10"/>
      <c r="C37" s="10"/>
      <c r="D37" s="12"/>
      <c r="E37" s="10"/>
      <c r="F37" s="10"/>
      <c r="G37" s="10"/>
      <c r="H37" s="23"/>
      <c r="I37" s="10" t="str">
        <f aca="false">IF(AND(B37="",D37=""),"",IF(H37&lt;&gt;"","Cleared","Open"))</f>
        <v/>
      </c>
      <c r="J37" s="27" t="str">
        <f aca="true">IF(OR(A37="",H37&lt;&gt;""),"",TODAY()-A37)</f>
        <v/>
      </c>
    </row>
    <row r="38" customFormat="false" ht="15" hidden="false" customHeight="false" outlineLevel="0" collapsed="false">
      <c r="A38" s="24"/>
      <c r="B38" s="25"/>
      <c r="C38" s="25"/>
      <c r="D38" s="26"/>
      <c r="E38" s="25"/>
      <c r="F38" s="25"/>
      <c r="G38" s="25"/>
      <c r="H38" s="24"/>
      <c r="I38" s="25" t="str">
        <f aca="false">IF(AND(B38="",D38=""),"",IF(H38&lt;&gt;"","Cleared","Open"))</f>
        <v/>
      </c>
      <c r="J38" s="28" t="str">
        <f aca="true">IF(OR(A38="",H38&lt;&gt;""),"",TODAY()-A38)</f>
        <v/>
      </c>
    </row>
    <row r="39" customFormat="false" ht="15" hidden="false" customHeight="false" outlineLevel="0" collapsed="false">
      <c r="A39" s="23"/>
      <c r="B39" s="10"/>
      <c r="C39" s="10"/>
      <c r="D39" s="12"/>
      <c r="E39" s="10"/>
      <c r="F39" s="10"/>
      <c r="G39" s="10"/>
      <c r="H39" s="23"/>
      <c r="I39" s="10" t="str">
        <f aca="false">IF(AND(B39="",D39=""),"",IF(H39&lt;&gt;"","Cleared","Open"))</f>
        <v/>
      </c>
      <c r="J39" s="27" t="str">
        <f aca="true">IF(OR(A39="",H39&lt;&gt;""),"",TODAY()-A39)</f>
        <v/>
      </c>
    </row>
    <row r="40" customFormat="false" ht="15" hidden="false" customHeight="false" outlineLevel="0" collapsed="false">
      <c r="A40" s="24"/>
      <c r="B40" s="25"/>
      <c r="C40" s="25"/>
      <c r="D40" s="26"/>
      <c r="E40" s="25"/>
      <c r="F40" s="25"/>
      <c r="G40" s="25"/>
      <c r="H40" s="24"/>
      <c r="I40" s="25" t="str">
        <f aca="false">IF(AND(B40="",D40=""),"",IF(H40&lt;&gt;"","Cleared","Open"))</f>
        <v/>
      </c>
      <c r="J40" s="28" t="str">
        <f aca="true">IF(OR(A40="",H40&lt;&gt;""),"",TODAY()-A40)</f>
        <v/>
      </c>
    </row>
    <row r="41" customFormat="false" ht="15" hidden="false" customHeight="false" outlineLevel="0" collapsed="false">
      <c r="A41" s="23"/>
      <c r="B41" s="10"/>
      <c r="C41" s="10"/>
      <c r="D41" s="12"/>
      <c r="E41" s="10"/>
      <c r="F41" s="10"/>
      <c r="G41" s="10"/>
      <c r="H41" s="23"/>
      <c r="I41" s="10" t="str">
        <f aca="false">IF(AND(B41="",D41=""),"",IF(H41&lt;&gt;"","Cleared","Open"))</f>
        <v/>
      </c>
      <c r="J41" s="27" t="str">
        <f aca="true">IF(OR(A41="",H41&lt;&gt;""),"",TODAY()-A41)</f>
        <v/>
      </c>
    </row>
    <row r="42" customFormat="false" ht="15" hidden="false" customHeight="false" outlineLevel="0" collapsed="false">
      <c r="A42" s="24"/>
      <c r="B42" s="25"/>
      <c r="C42" s="25"/>
      <c r="D42" s="26"/>
      <c r="E42" s="25"/>
      <c r="F42" s="25"/>
      <c r="G42" s="25"/>
      <c r="H42" s="24"/>
      <c r="I42" s="25" t="str">
        <f aca="false">IF(AND(B42="",D42=""),"",IF(H42&lt;&gt;"","Cleared","Open"))</f>
        <v/>
      </c>
      <c r="J42" s="28" t="str">
        <f aca="true">IF(OR(A42="",H42&lt;&gt;""),"",TODAY()-A42)</f>
        <v/>
      </c>
    </row>
    <row r="43" customFormat="false" ht="15" hidden="false" customHeight="false" outlineLevel="0" collapsed="false">
      <c r="A43" s="23"/>
      <c r="B43" s="10"/>
      <c r="C43" s="10"/>
      <c r="D43" s="12"/>
      <c r="E43" s="10"/>
      <c r="F43" s="10"/>
      <c r="G43" s="10"/>
      <c r="H43" s="23"/>
      <c r="I43" s="10" t="str">
        <f aca="false">IF(AND(B43="",D43=""),"",IF(H43&lt;&gt;"","Cleared","Open"))</f>
        <v/>
      </c>
      <c r="J43" s="27" t="str">
        <f aca="true">IF(OR(A43="",H43&lt;&gt;""),"",TODAY()-A43)</f>
        <v/>
      </c>
    </row>
    <row r="44" customFormat="false" ht="15" hidden="false" customHeight="false" outlineLevel="0" collapsed="false">
      <c r="A44" s="24"/>
      <c r="B44" s="25"/>
      <c r="C44" s="25"/>
      <c r="D44" s="26"/>
      <c r="E44" s="25"/>
      <c r="F44" s="25"/>
      <c r="G44" s="25"/>
      <c r="H44" s="24"/>
      <c r="I44" s="25" t="str">
        <f aca="false">IF(AND(B44="",D44=""),"",IF(H44&lt;&gt;"","Cleared","Open"))</f>
        <v/>
      </c>
      <c r="J44" s="28" t="str">
        <f aca="true">IF(OR(A44="",H44&lt;&gt;""),"",TODAY()-A44)</f>
        <v/>
      </c>
    </row>
    <row r="45" customFormat="false" ht="15" hidden="false" customHeight="false" outlineLevel="0" collapsed="false">
      <c r="A45" s="23"/>
      <c r="B45" s="10"/>
      <c r="C45" s="10"/>
      <c r="D45" s="12"/>
      <c r="E45" s="10"/>
      <c r="F45" s="10"/>
      <c r="G45" s="10"/>
      <c r="H45" s="23"/>
      <c r="I45" s="10" t="str">
        <f aca="false">IF(AND(B45="",D45=""),"",IF(H45&lt;&gt;"","Cleared","Open"))</f>
        <v/>
      </c>
      <c r="J45" s="27" t="str">
        <f aca="true">IF(OR(A45="",H45&lt;&gt;""),"",TODAY()-A45)</f>
        <v/>
      </c>
    </row>
    <row r="46" customFormat="false" ht="15" hidden="false" customHeight="false" outlineLevel="0" collapsed="false">
      <c r="A46" s="24"/>
      <c r="B46" s="25"/>
      <c r="C46" s="25"/>
      <c r="D46" s="26"/>
      <c r="E46" s="25"/>
      <c r="F46" s="25"/>
      <c r="G46" s="25"/>
      <c r="H46" s="24"/>
      <c r="I46" s="25" t="str">
        <f aca="false">IF(AND(B46="",D46=""),"",IF(H46&lt;&gt;"","Cleared","Open"))</f>
        <v/>
      </c>
      <c r="J46" s="28" t="str">
        <f aca="true">IF(OR(A46="",H46&lt;&gt;""),"",TODAY()-A46)</f>
        <v/>
      </c>
    </row>
    <row r="47" customFormat="false" ht="15" hidden="false" customHeight="false" outlineLevel="0" collapsed="false">
      <c r="A47" s="23"/>
      <c r="B47" s="10"/>
      <c r="C47" s="10"/>
      <c r="D47" s="12"/>
      <c r="E47" s="10"/>
      <c r="F47" s="10"/>
      <c r="G47" s="10"/>
      <c r="H47" s="23"/>
      <c r="I47" s="10" t="str">
        <f aca="false">IF(AND(B47="",D47=""),"",IF(H47&lt;&gt;"","Cleared","Open"))</f>
        <v/>
      </c>
      <c r="J47" s="27" t="str">
        <f aca="true">IF(OR(A47="",H47&lt;&gt;""),"",TODAY()-A47)</f>
        <v/>
      </c>
    </row>
    <row r="48" customFormat="false" ht="15" hidden="false" customHeight="false" outlineLevel="0" collapsed="false">
      <c r="A48" s="24"/>
      <c r="B48" s="25"/>
      <c r="C48" s="25"/>
      <c r="D48" s="26"/>
      <c r="E48" s="25"/>
      <c r="F48" s="25"/>
      <c r="G48" s="25"/>
      <c r="H48" s="24"/>
      <c r="I48" s="25" t="str">
        <f aca="false">IF(AND(B48="",D48=""),"",IF(H48&lt;&gt;"","Cleared","Open"))</f>
        <v/>
      </c>
      <c r="J48" s="28" t="str">
        <f aca="true">IF(OR(A48="",H48&lt;&gt;""),"",TODAY()-A48)</f>
        <v/>
      </c>
    </row>
    <row r="49" customFormat="false" ht="15" hidden="false" customHeight="false" outlineLevel="0" collapsed="false">
      <c r="A49" s="23"/>
      <c r="B49" s="10"/>
      <c r="C49" s="10"/>
      <c r="D49" s="12"/>
      <c r="E49" s="10"/>
      <c r="F49" s="10"/>
      <c r="G49" s="10"/>
      <c r="H49" s="23"/>
      <c r="I49" s="10" t="str">
        <f aca="false">IF(AND(B49="",D49=""),"",IF(H49&lt;&gt;"","Cleared","Open"))</f>
        <v/>
      </c>
      <c r="J49" s="27" t="str">
        <f aca="true">IF(OR(A49="",H49&lt;&gt;""),"",TODAY()-A49)</f>
        <v/>
      </c>
    </row>
    <row r="50" customFormat="false" ht="15" hidden="false" customHeight="false" outlineLevel="0" collapsed="false">
      <c r="A50" s="24"/>
      <c r="B50" s="25"/>
      <c r="C50" s="25"/>
      <c r="D50" s="26"/>
      <c r="E50" s="25"/>
      <c r="F50" s="25"/>
      <c r="G50" s="25"/>
      <c r="H50" s="24"/>
      <c r="I50" s="25" t="str">
        <f aca="false">IF(AND(B50="",D50=""),"",IF(H50&lt;&gt;"","Cleared","Open"))</f>
        <v/>
      </c>
      <c r="J50" s="28" t="str">
        <f aca="true">IF(OR(A50="",H50&lt;&gt;""),"",TODAY()-A50)</f>
        <v/>
      </c>
    </row>
    <row r="51" customFormat="false" ht="15" hidden="false" customHeight="false" outlineLevel="0" collapsed="false">
      <c r="A51" s="23"/>
      <c r="B51" s="10"/>
      <c r="C51" s="10"/>
      <c r="D51" s="12"/>
      <c r="E51" s="10"/>
      <c r="F51" s="10"/>
      <c r="G51" s="10"/>
      <c r="H51" s="23"/>
      <c r="I51" s="10" t="str">
        <f aca="false">IF(AND(B51="",D51=""),"",IF(H51&lt;&gt;"","Cleared","Open"))</f>
        <v/>
      </c>
      <c r="J51" s="27" t="str">
        <f aca="true">IF(OR(A51="",H51&lt;&gt;""),"",TODAY()-A51)</f>
        <v/>
      </c>
    </row>
    <row r="52" customFormat="false" ht="15" hidden="false" customHeight="false" outlineLevel="0" collapsed="false">
      <c r="A52" s="24"/>
      <c r="B52" s="25"/>
      <c r="C52" s="25"/>
      <c r="D52" s="26"/>
      <c r="E52" s="25"/>
      <c r="F52" s="25"/>
      <c r="G52" s="25"/>
      <c r="H52" s="24"/>
      <c r="I52" s="25" t="str">
        <f aca="false">IF(AND(B52="",D52=""),"",IF(H52&lt;&gt;"","Cleared","Open"))</f>
        <v/>
      </c>
      <c r="J52" s="28" t="str">
        <f aca="true">IF(OR(A52="",H52&lt;&gt;""),"",TODAY()-A52)</f>
        <v/>
      </c>
    </row>
    <row r="53" customFormat="false" ht="15" hidden="false" customHeight="false" outlineLevel="0" collapsed="false">
      <c r="A53" s="23"/>
      <c r="B53" s="10"/>
      <c r="C53" s="10"/>
      <c r="D53" s="12"/>
      <c r="E53" s="10"/>
      <c r="F53" s="10"/>
      <c r="G53" s="10"/>
      <c r="H53" s="23"/>
      <c r="I53" s="10" t="str">
        <f aca="false">IF(AND(B53="",D53=""),"",IF(H53&lt;&gt;"","Cleared","Open"))</f>
        <v/>
      </c>
      <c r="J53" s="27" t="str">
        <f aca="true">IF(OR(A53="",H53&lt;&gt;""),"",TODAY()-A53)</f>
        <v/>
      </c>
    </row>
    <row r="54" customFormat="false" ht="15" hidden="false" customHeight="false" outlineLevel="0" collapsed="false">
      <c r="A54" s="24"/>
      <c r="B54" s="25"/>
      <c r="C54" s="25"/>
      <c r="D54" s="26"/>
      <c r="E54" s="25"/>
      <c r="F54" s="25"/>
      <c r="G54" s="25"/>
      <c r="H54" s="24"/>
      <c r="I54" s="25" t="str">
        <f aca="false">IF(AND(B54="",D54=""),"",IF(H54&lt;&gt;"","Cleared","Open"))</f>
        <v/>
      </c>
      <c r="J54" s="28" t="str">
        <f aca="true">IF(OR(A54="",H54&lt;&gt;""),"",TODAY()-A54)</f>
        <v/>
      </c>
    </row>
    <row r="55" customFormat="false" ht="15" hidden="false" customHeight="false" outlineLevel="0" collapsed="false">
      <c r="A55" s="23"/>
      <c r="B55" s="10"/>
      <c r="C55" s="10"/>
      <c r="D55" s="12"/>
      <c r="E55" s="10"/>
      <c r="F55" s="10"/>
      <c r="G55" s="10"/>
      <c r="H55" s="23"/>
      <c r="I55" s="10" t="str">
        <f aca="false">IF(AND(B55="",D55=""),"",IF(H55&lt;&gt;"","Cleared","Open"))</f>
        <v/>
      </c>
      <c r="J55" s="27" t="str">
        <f aca="true">IF(OR(A55="",H55&lt;&gt;""),"",TODAY()-A55)</f>
        <v/>
      </c>
    </row>
    <row r="56" customFormat="false" ht="15" hidden="false" customHeight="false" outlineLevel="0" collapsed="false">
      <c r="A56" s="24"/>
      <c r="B56" s="25"/>
      <c r="C56" s="25"/>
      <c r="D56" s="26"/>
      <c r="E56" s="25"/>
      <c r="F56" s="25"/>
      <c r="G56" s="25"/>
      <c r="H56" s="24"/>
      <c r="I56" s="25" t="str">
        <f aca="false">IF(AND(B56="",D56=""),"",IF(H56&lt;&gt;"","Cleared","Open"))</f>
        <v/>
      </c>
      <c r="J56" s="28" t="str">
        <f aca="true">IF(OR(A56="",H56&lt;&gt;""),"",TODAY()-A56)</f>
        <v/>
      </c>
    </row>
    <row r="57" customFormat="false" ht="15" hidden="false" customHeight="false" outlineLevel="0" collapsed="false">
      <c r="A57" s="23"/>
      <c r="B57" s="10"/>
      <c r="C57" s="10"/>
      <c r="D57" s="12"/>
      <c r="E57" s="10"/>
      <c r="F57" s="10"/>
      <c r="G57" s="10"/>
      <c r="H57" s="23"/>
      <c r="I57" s="10" t="str">
        <f aca="false">IF(AND(B57="",D57=""),"",IF(H57&lt;&gt;"","Cleared","Open"))</f>
        <v/>
      </c>
      <c r="J57" s="27" t="str">
        <f aca="true">IF(OR(A57="",H57&lt;&gt;""),"",TODAY()-A57)</f>
        <v/>
      </c>
    </row>
    <row r="58" customFormat="false" ht="15" hidden="false" customHeight="false" outlineLevel="0" collapsed="false">
      <c r="A58" s="24"/>
      <c r="B58" s="25"/>
      <c r="C58" s="25"/>
      <c r="D58" s="26"/>
      <c r="E58" s="25"/>
      <c r="F58" s="25"/>
      <c r="G58" s="25"/>
      <c r="H58" s="24"/>
      <c r="I58" s="25" t="str">
        <f aca="false">IF(AND(B58="",D58=""),"",IF(H58&lt;&gt;"","Cleared","Open"))</f>
        <v/>
      </c>
      <c r="J58" s="28" t="str">
        <f aca="true">IF(OR(A58="",H58&lt;&gt;""),"",TODAY()-A58)</f>
        <v/>
      </c>
    </row>
    <row r="59" customFormat="false" ht="15" hidden="false" customHeight="false" outlineLevel="0" collapsed="false">
      <c r="A59" s="23"/>
      <c r="B59" s="10"/>
      <c r="C59" s="10"/>
      <c r="D59" s="12"/>
      <c r="E59" s="10"/>
      <c r="F59" s="10"/>
      <c r="G59" s="10"/>
      <c r="H59" s="23"/>
      <c r="I59" s="10" t="str">
        <f aca="false">IF(AND(B59="",D59=""),"",IF(H59&lt;&gt;"","Cleared","Open"))</f>
        <v/>
      </c>
      <c r="J59" s="27" t="str">
        <f aca="true">IF(OR(A59="",H59&lt;&gt;""),"",TODAY()-A59)</f>
        <v/>
      </c>
    </row>
    <row r="60" customFormat="false" ht="15" hidden="false" customHeight="false" outlineLevel="0" collapsed="false">
      <c r="A60" s="24"/>
      <c r="B60" s="25"/>
      <c r="C60" s="25"/>
      <c r="D60" s="26"/>
      <c r="E60" s="25"/>
      <c r="F60" s="25"/>
      <c r="G60" s="25"/>
      <c r="H60" s="24"/>
      <c r="I60" s="25" t="str">
        <f aca="false">IF(AND(B60="",D60=""),"",IF(H60&lt;&gt;"","Cleared","Open"))</f>
        <v/>
      </c>
      <c r="J60" s="28" t="str">
        <f aca="true">IF(OR(A60="",H60&lt;&gt;""),"",TODAY()-A60)</f>
        <v/>
      </c>
    </row>
    <row r="61" customFormat="false" ht="15" hidden="false" customHeight="false" outlineLevel="0" collapsed="false">
      <c r="A61" s="23"/>
      <c r="B61" s="10"/>
      <c r="C61" s="10"/>
      <c r="D61" s="12"/>
      <c r="E61" s="10"/>
      <c r="F61" s="10"/>
      <c r="G61" s="10"/>
      <c r="H61" s="23"/>
      <c r="I61" s="10" t="str">
        <f aca="false">IF(AND(B61="",D61=""),"",IF(H61&lt;&gt;"","Cleared","Open"))</f>
        <v/>
      </c>
      <c r="J61" s="27" t="str">
        <f aca="true">IF(OR(A61="",H61&lt;&gt;""),"",TODAY()-A61)</f>
        <v/>
      </c>
    </row>
    <row r="62" customFormat="false" ht="15" hidden="false" customHeight="false" outlineLevel="0" collapsed="false">
      <c r="A62" s="24"/>
      <c r="B62" s="25"/>
      <c r="C62" s="25"/>
      <c r="D62" s="26"/>
      <c r="E62" s="25"/>
      <c r="F62" s="25"/>
      <c r="G62" s="25"/>
      <c r="H62" s="24"/>
      <c r="I62" s="25" t="str">
        <f aca="false">IF(AND(B62="",D62=""),"",IF(H62&lt;&gt;"","Cleared","Open"))</f>
        <v/>
      </c>
      <c r="J62" s="28" t="str">
        <f aca="true">IF(OR(A62="",H62&lt;&gt;""),"",TODAY()-A62)</f>
        <v/>
      </c>
    </row>
    <row r="63" customFormat="false" ht="15" hidden="false" customHeight="false" outlineLevel="0" collapsed="false">
      <c r="A63" s="23"/>
      <c r="B63" s="10"/>
      <c r="C63" s="10"/>
      <c r="D63" s="12"/>
      <c r="E63" s="10"/>
      <c r="F63" s="10"/>
      <c r="G63" s="10"/>
      <c r="H63" s="23"/>
      <c r="I63" s="10" t="str">
        <f aca="false">IF(AND(B63="",D63=""),"",IF(H63&lt;&gt;"","Cleared","Open"))</f>
        <v/>
      </c>
      <c r="J63" s="27" t="str">
        <f aca="true">IF(OR(A63="",H63&lt;&gt;""),"",TODAY()-A63)</f>
        <v/>
      </c>
    </row>
    <row r="64" customFormat="false" ht="15" hidden="false" customHeight="false" outlineLevel="0" collapsed="false">
      <c r="A64" s="24"/>
      <c r="B64" s="25"/>
      <c r="C64" s="25"/>
      <c r="D64" s="26"/>
      <c r="E64" s="25"/>
      <c r="F64" s="25"/>
      <c r="G64" s="25"/>
      <c r="H64" s="24"/>
      <c r="I64" s="25" t="str">
        <f aca="false">IF(AND(B64="",D64=""),"",IF(H64&lt;&gt;"","Cleared","Open"))</f>
        <v/>
      </c>
      <c r="J64" s="28" t="str">
        <f aca="true">IF(OR(A64="",H64&lt;&gt;""),"",TODAY()-A64)</f>
        <v/>
      </c>
    </row>
    <row r="65" customFormat="false" ht="15" hidden="false" customHeight="false" outlineLevel="0" collapsed="false">
      <c r="A65" s="23"/>
      <c r="B65" s="10"/>
      <c r="C65" s="10"/>
      <c r="D65" s="12"/>
      <c r="E65" s="10"/>
      <c r="F65" s="10"/>
      <c r="G65" s="10"/>
      <c r="H65" s="23"/>
      <c r="I65" s="10" t="str">
        <f aca="false">IF(AND(B65="",D65=""),"",IF(H65&lt;&gt;"","Cleared","Open"))</f>
        <v/>
      </c>
      <c r="J65" s="27" t="str">
        <f aca="true">IF(OR(A65="",H65&lt;&gt;""),"",TODAY()-A65)</f>
        <v/>
      </c>
    </row>
    <row r="66" customFormat="false" ht="15" hidden="false" customHeight="false" outlineLevel="0" collapsed="false">
      <c r="A66" s="24"/>
      <c r="B66" s="25"/>
      <c r="C66" s="25"/>
      <c r="D66" s="26"/>
      <c r="E66" s="25"/>
      <c r="F66" s="25"/>
      <c r="G66" s="25"/>
      <c r="H66" s="24"/>
      <c r="I66" s="25" t="str">
        <f aca="false">IF(AND(B66="",D66=""),"",IF(H66&lt;&gt;"","Cleared","Open"))</f>
        <v/>
      </c>
      <c r="J66" s="28" t="str">
        <f aca="true">IF(OR(A66="",H66&lt;&gt;""),"",TODAY()-A66)</f>
        <v/>
      </c>
    </row>
    <row r="67" customFormat="false" ht="15" hidden="false" customHeight="false" outlineLevel="0" collapsed="false">
      <c r="A67" s="23"/>
      <c r="B67" s="10"/>
      <c r="C67" s="10"/>
      <c r="D67" s="12"/>
      <c r="E67" s="10"/>
      <c r="F67" s="10"/>
      <c r="G67" s="10"/>
      <c r="H67" s="23"/>
      <c r="I67" s="10" t="str">
        <f aca="false">IF(AND(B67="",D67=""),"",IF(H67&lt;&gt;"","Cleared","Open"))</f>
        <v/>
      </c>
      <c r="J67" s="27" t="str">
        <f aca="true">IF(OR(A67="",H67&lt;&gt;""),"",TODAY()-A67)</f>
        <v/>
      </c>
    </row>
    <row r="68" customFormat="false" ht="15" hidden="false" customHeight="false" outlineLevel="0" collapsed="false">
      <c r="A68" s="24"/>
      <c r="B68" s="25"/>
      <c r="C68" s="25"/>
      <c r="D68" s="26"/>
      <c r="E68" s="25"/>
      <c r="F68" s="25"/>
      <c r="G68" s="25"/>
      <c r="H68" s="24"/>
      <c r="I68" s="25" t="str">
        <f aca="false">IF(AND(B68="",D68=""),"",IF(H68&lt;&gt;"","Cleared","Open"))</f>
        <v/>
      </c>
      <c r="J68" s="28" t="str">
        <f aca="true">IF(OR(A68="",H68&lt;&gt;""),"",TODAY()-A68)</f>
        <v/>
      </c>
    </row>
    <row r="69" customFormat="false" ht="15" hidden="false" customHeight="false" outlineLevel="0" collapsed="false">
      <c r="A69" s="23"/>
      <c r="B69" s="10"/>
      <c r="C69" s="10"/>
      <c r="D69" s="12"/>
      <c r="E69" s="10"/>
      <c r="F69" s="10"/>
      <c r="G69" s="10"/>
      <c r="H69" s="23"/>
      <c r="I69" s="10" t="str">
        <f aca="false">IF(AND(B69="",D69=""),"",IF(H69&lt;&gt;"","Cleared","Open"))</f>
        <v/>
      </c>
      <c r="J69" s="27" t="str">
        <f aca="true">IF(OR(A69="",H69&lt;&gt;""),"",TODAY()-A69)</f>
        <v/>
      </c>
    </row>
    <row r="70" customFormat="false" ht="15" hidden="false" customHeight="false" outlineLevel="0" collapsed="false">
      <c r="A70" s="24"/>
      <c r="B70" s="25"/>
      <c r="C70" s="25"/>
      <c r="D70" s="26"/>
      <c r="E70" s="25"/>
      <c r="F70" s="25"/>
      <c r="G70" s="25"/>
      <c r="H70" s="24"/>
      <c r="I70" s="25" t="str">
        <f aca="false">IF(AND(B70="",D70=""),"",IF(H70&lt;&gt;"","Cleared","Open"))</f>
        <v/>
      </c>
      <c r="J70" s="28" t="str">
        <f aca="true">IF(OR(A70="",H70&lt;&gt;""),"",TODAY()-A70)</f>
        <v/>
      </c>
    </row>
    <row r="71" customFormat="false" ht="15" hidden="false" customHeight="false" outlineLevel="0" collapsed="false">
      <c r="A71" s="23"/>
      <c r="B71" s="10"/>
      <c r="C71" s="10"/>
      <c r="D71" s="12"/>
      <c r="E71" s="10"/>
      <c r="F71" s="10"/>
      <c r="G71" s="10"/>
      <c r="H71" s="23"/>
      <c r="I71" s="10" t="str">
        <f aca="false">IF(AND(B71="",D71=""),"",IF(H71&lt;&gt;"","Cleared","Open"))</f>
        <v/>
      </c>
      <c r="J71" s="27" t="str">
        <f aca="true">IF(OR(A71="",H71&lt;&gt;""),"",TODAY()-A71)</f>
        <v/>
      </c>
    </row>
    <row r="72" customFormat="false" ht="15" hidden="false" customHeight="false" outlineLevel="0" collapsed="false">
      <c r="A72" s="24"/>
      <c r="B72" s="25"/>
      <c r="C72" s="25"/>
      <c r="D72" s="26"/>
      <c r="E72" s="25"/>
      <c r="F72" s="25"/>
      <c r="G72" s="25"/>
      <c r="H72" s="24"/>
      <c r="I72" s="25" t="str">
        <f aca="false">IF(AND(B72="",D72=""),"",IF(H72&lt;&gt;"","Cleared","Open"))</f>
        <v/>
      </c>
      <c r="J72" s="28" t="str">
        <f aca="true">IF(OR(A72="",H72&lt;&gt;""),"",TODAY()-A72)</f>
        <v/>
      </c>
    </row>
    <row r="73" customFormat="false" ht="15" hidden="false" customHeight="false" outlineLevel="0" collapsed="false">
      <c r="A73" s="23"/>
      <c r="B73" s="10"/>
      <c r="C73" s="10"/>
      <c r="D73" s="12"/>
      <c r="E73" s="10"/>
      <c r="F73" s="10"/>
      <c r="G73" s="10"/>
      <c r="H73" s="23"/>
      <c r="I73" s="10" t="str">
        <f aca="false">IF(AND(B73="",D73=""),"",IF(H73&lt;&gt;"","Cleared","Open"))</f>
        <v/>
      </c>
      <c r="J73" s="27" t="str">
        <f aca="true">IF(OR(A73="",H73&lt;&gt;""),"",TODAY()-A73)</f>
        <v/>
      </c>
    </row>
    <row r="74" customFormat="false" ht="15" hidden="false" customHeight="false" outlineLevel="0" collapsed="false">
      <c r="A74" s="24"/>
      <c r="B74" s="25"/>
      <c r="C74" s="25"/>
      <c r="D74" s="26"/>
      <c r="E74" s="25"/>
      <c r="F74" s="25"/>
      <c r="G74" s="25"/>
      <c r="H74" s="24"/>
      <c r="I74" s="25" t="str">
        <f aca="false">IF(AND(B74="",D74=""),"",IF(H74&lt;&gt;"","Cleared","Open"))</f>
        <v/>
      </c>
      <c r="J74" s="28" t="str">
        <f aca="true">IF(OR(A74="",H74&lt;&gt;""),"",TODAY()-A74)</f>
        <v/>
      </c>
    </row>
    <row r="75" customFormat="false" ht="15" hidden="false" customHeight="false" outlineLevel="0" collapsed="false">
      <c r="A75" s="23"/>
      <c r="B75" s="10"/>
      <c r="C75" s="10"/>
      <c r="D75" s="12"/>
      <c r="E75" s="10"/>
      <c r="F75" s="10"/>
      <c r="G75" s="10"/>
      <c r="H75" s="23"/>
      <c r="I75" s="10" t="str">
        <f aca="false">IF(AND(B75="",D75=""),"",IF(H75&lt;&gt;"","Cleared","Open"))</f>
        <v/>
      </c>
      <c r="J75" s="27" t="str">
        <f aca="true">IF(OR(A75="",H75&lt;&gt;""),"",TODAY()-A75)</f>
        <v/>
      </c>
    </row>
    <row r="76" customFormat="false" ht="15" hidden="false" customHeight="false" outlineLevel="0" collapsed="false">
      <c r="A76" s="24"/>
      <c r="B76" s="25"/>
      <c r="C76" s="25"/>
      <c r="D76" s="26"/>
      <c r="E76" s="25"/>
      <c r="F76" s="25"/>
      <c r="G76" s="25"/>
      <c r="H76" s="24"/>
      <c r="I76" s="25" t="str">
        <f aca="false">IF(AND(B76="",D76=""),"",IF(H76&lt;&gt;"","Cleared","Open"))</f>
        <v/>
      </c>
      <c r="J76" s="28" t="str">
        <f aca="true">IF(OR(A76="",H76&lt;&gt;""),"",TODAY()-A76)</f>
        <v/>
      </c>
    </row>
    <row r="77" customFormat="false" ht="15" hidden="false" customHeight="false" outlineLevel="0" collapsed="false">
      <c r="A77" s="23"/>
      <c r="B77" s="10"/>
      <c r="C77" s="10"/>
      <c r="D77" s="12"/>
      <c r="E77" s="10"/>
      <c r="F77" s="10"/>
      <c r="G77" s="10"/>
      <c r="H77" s="23"/>
      <c r="I77" s="10" t="str">
        <f aca="false">IF(AND(B77="",D77=""),"",IF(H77&lt;&gt;"","Cleared","Open"))</f>
        <v/>
      </c>
      <c r="J77" s="27" t="str">
        <f aca="true">IF(OR(A77="",H77&lt;&gt;""),"",TODAY()-A77)</f>
        <v/>
      </c>
    </row>
    <row r="78" customFormat="false" ht="15" hidden="false" customHeight="false" outlineLevel="0" collapsed="false">
      <c r="A78" s="24"/>
      <c r="B78" s="25"/>
      <c r="C78" s="25"/>
      <c r="D78" s="26"/>
      <c r="E78" s="25"/>
      <c r="F78" s="25"/>
      <c r="G78" s="25"/>
      <c r="H78" s="24"/>
      <c r="I78" s="25" t="str">
        <f aca="false">IF(AND(B78="",D78=""),"",IF(H78&lt;&gt;"","Cleared","Open"))</f>
        <v/>
      </c>
      <c r="J78" s="28" t="str">
        <f aca="true">IF(OR(A78="",H78&lt;&gt;""),"",TODAY()-A78)</f>
        <v/>
      </c>
    </row>
    <row r="79" customFormat="false" ht="15" hidden="false" customHeight="false" outlineLevel="0" collapsed="false">
      <c r="A79" s="23"/>
      <c r="B79" s="10"/>
      <c r="C79" s="10"/>
      <c r="D79" s="12"/>
      <c r="E79" s="10"/>
      <c r="F79" s="10"/>
      <c r="G79" s="10"/>
      <c r="H79" s="23"/>
      <c r="I79" s="10" t="str">
        <f aca="false">IF(AND(B79="",D79=""),"",IF(H79&lt;&gt;"","Cleared","Open"))</f>
        <v/>
      </c>
      <c r="J79" s="27" t="str">
        <f aca="true">IF(OR(A79="",H79&lt;&gt;""),"",TODAY()-A79)</f>
        <v/>
      </c>
    </row>
    <row r="80" customFormat="false" ht="15" hidden="false" customHeight="false" outlineLevel="0" collapsed="false">
      <c r="A80" s="24"/>
      <c r="B80" s="25"/>
      <c r="C80" s="25"/>
      <c r="D80" s="26"/>
      <c r="E80" s="25"/>
      <c r="F80" s="25"/>
      <c r="G80" s="25"/>
      <c r="H80" s="24"/>
      <c r="I80" s="25" t="str">
        <f aca="false">IF(AND(B80="",D80=""),"",IF(H80&lt;&gt;"","Cleared","Open"))</f>
        <v/>
      </c>
      <c r="J80" s="28" t="str">
        <f aca="true">IF(OR(A80="",H80&lt;&gt;""),"",TODAY()-A80)</f>
        <v/>
      </c>
    </row>
    <row r="81" customFormat="false" ht="15" hidden="false" customHeight="false" outlineLevel="0" collapsed="false">
      <c r="A81" s="23"/>
      <c r="B81" s="10"/>
      <c r="C81" s="10"/>
      <c r="D81" s="12"/>
      <c r="E81" s="10"/>
      <c r="F81" s="10"/>
      <c r="G81" s="10"/>
      <c r="H81" s="23"/>
      <c r="I81" s="10" t="str">
        <f aca="false">IF(AND(B81="",D81=""),"",IF(H81&lt;&gt;"","Cleared","Open"))</f>
        <v/>
      </c>
      <c r="J81" s="27" t="str">
        <f aca="true">IF(OR(A81="",H81&lt;&gt;""),"",TODAY()-A81)</f>
        <v/>
      </c>
    </row>
    <row r="82" customFormat="false" ht="15" hidden="false" customHeight="false" outlineLevel="0" collapsed="false">
      <c r="A82" s="24"/>
      <c r="B82" s="25"/>
      <c r="C82" s="25"/>
      <c r="D82" s="26"/>
      <c r="E82" s="25"/>
      <c r="F82" s="25"/>
      <c r="G82" s="25"/>
      <c r="H82" s="24"/>
      <c r="I82" s="25" t="str">
        <f aca="false">IF(AND(B82="",D82=""),"",IF(H82&lt;&gt;"","Cleared","Open"))</f>
        <v/>
      </c>
      <c r="J82" s="28" t="str">
        <f aca="true">IF(OR(A82="",H82&lt;&gt;""),"",TODAY()-A82)</f>
        <v/>
      </c>
    </row>
    <row r="83" customFormat="false" ht="15" hidden="false" customHeight="false" outlineLevel="0" collapsed="false">
      <c r="A83" s="23"/>
      <c r="B83" s="10"/>
      <c r="C83" s="10"/>
      <c r="D83" s="12"/>
      <c r="E83" s="10"/>
      <c r="F83" s="10"/>
      <c r="G83" s="10"/>
      <c r="H83" s="23"/>
      <c r="I83" s="10" t="str">
        <f aca="false">IF(AND(B83="",D83=""),"",IF(H83&lt;&gt;"","Cleared","Open"))</f>
        <v/>
      </c>
      <c r="J83" s="27" t="str">
        <f aca="true">IF(OR(A83="",H83&lt;&gt;""),"",TODAY()-A83)</f>
        <v/>
      </c>
    </row>
    <row r="84" customFormat="false" ht="15" hidden="false" customHeight="false" outlineLevel="0" collapsed="false">
      <c r="A84" s="24"/>
      <c r="B84" s="25"/>
      <c r="C84" s="25"/>
      <c r="D84" s="26"/>
      <c r="E84" s="25"/>
      <c r="F84" s="25"/>
      <c r="G84" s="25"/>
      <c r="H84" s="24"/>
      <c r="I84" s="25" t="str">
        <f aca="false">IF(AND(B84="",D84=""),"",IF(H84&lt;&gt;"","Cleared","Open"))</f>
        <v/>
      </c>
      <c r="J84" s="28" t="str">
        <f aca="true">IF(OR(A84="",H84&lt;&gt;""),"",TODAY()-A84)</f>
        <v/>
      </c>
    </row>
    <row r="85" customFormat="false" ht="15" hidden="false" customHeight="false" outlineLevel="0" collapsed="false">
      <c r="A85" s="23"/>
      <c r="B85" s="10"/>
      <c r="C85" s="10"/>
      <c r="D85" s="12"/>
      <c r="E85" s="10"/>
      <c r="F85" s="10"/>
      <c r="G85" s="10"/>
      <c r="H85" s="23"/>
      <c r="I85" s="10" t="str">
        <f aca="false">IF(AND(B85="",D85=""),"",IF(H85&lt;&gt;"","Cleared","Open"))</f>
        <v/>
      </c>
      <c r="J85" s="27" t="str">
        <f aca="true">IF(OR(A85="",H85&lt;&gt;""),"",TODAY()-A85)</f>
        <v/>
      </c>
    </row>
    <row r="86" customFormat="false" ht="15" hidden="false" customHeight="false" outlineLevel="0" collapsed="false">
      <c r="A86" s="24"/>
      <c r="B86" s="25"/>
      <c r="C86" s="25"/>
      <c r="D86" s="26"/>
      <c r="E86" s="25"/>
      <c r="F86" s="25"/>
      <c r="G86" s="25"/>
      <c r="H86" s="24"/>
      <c r="I86" s="25" t="str">
        <f aca="false">IF(AND(B86="",D86=""),"",IF(H86&lt;&gt;"","Cleared","Open"))</f>
        <v/>
      </c>
      <c r="J86" s="28" t="str">
        <f aca="true">IF(OR(A86="",H86&lt;&gt;""),"",TODAY()-A86)</f>
        <v/>
      </c>
    </row>
    <row r="87" customFormat="false" ht="15" hidden="false" customHeight="false" outlineLevel="0" collapsed="false">
      <c r="A87" s="23"/>
      <c r="B87" s="10"/>
      <c r="C87" s="10"/>
      <c r="D87" s="12"/>
      <c r="E87" s="10"/>
      <c r="F87" s="10"/>
      <c r="G87" s="10"/>
      <c r="H87" s="23"/>
      <c r="I87" s="10" t="str">
        <f aca="false">IF(AND(B87="",D87=""),"",IF(H87&lt;&gt;"","Cleared","Open"))</f>
        <v/>
      </c>
      <c r="J87" s="27" t="str">
        <f aca="true">IF(OR(A87="",H87&lt;&gt;""),"",TODAY()-A87)</f>
        <v/>
      </c>
    </row>
    <row r="88" customFormat="false" ht="15" hidden="false" customHeight="false" outlineLevel="0" collapsed="false">
      <c r="A88" s="24"/>
      <c r="B88" s="25"/>
      <c r="C88" s="25"/>
      <c r="D88" s="26"/>
      <c r="E88" s="25"/>
      <c r="F88" s="25"/>
      <c r="G88" s="25"/>
      <c r="H88" s="24"/>
      <c r="I88" s="25" t="str">
        <f aca="false">IF(AND(B88="",D88=""),"",IF(H88&lt;&gt;"","Cleared","Open"))</f>
        <v/>
      </c>
      <c r="J88" s="28" t="str">
        <f aca="true">IF(OR(A88="",H88&lt;&gt;""),"",TODAY()-A88)</f>
        <v/>
      </c>
    </row>
    <row r="89" customFormat="false" ht="15" hidden="false" customHeight="false" outlineLevel="0" collapsed="false">
      <c r="A89" s="23"/>
      <c r="B89" s="10"/>
      <c r="C89" s="10"/>
      <c r="D89" s="12"/>
      <c r="E89" s="10"/>
      <c r="F89" s="10"/>
      <c r="G89" s="10"/>
      <c r="H89" s="23"/>
      <c r="I89" s="10" t="str">
        <f aca="false">IF(AND(B89="",D89=""),"",IF(H89&lt;&gt;"","Cleared","Open"))</f>
        <v/>
      </c>
      <c r="J89" s="27" t="str">
        <f aca="true">IF(OR(A89="",H89&lt;&gt;""),"",TODAY()-A89)</f>
        <v/>
      </c>
    </row>
    <row r="90" customFormat="false" ht="15" hidden="false" customHeight="false" outlineLevel="0" collapsed="false">
      <c r="A90" s="24"/>
      <c r="B90" s="25"/>
      <c r="C90" s="25"/>
      <c r="D90" s="26"/>
      <c r="E90" s="25"/>
      <c r="F90" s="25"/>
      <c r="G90" s="25"/>
      <c r="H90" s="24"/>
      <c r="I90" s="25" t="str">
        <f aca="false">IF(AND(B90="",D90=""),"",IF(H90&lt;&gt;"","Cleared","Open"))</f>
        <v/>
      </c>
      <c r="J90" s="28" t="str">
        <f aca="true">IF(OR(A90="",H90&lt;&gt;""),"",TODAY()-A90)</f>
        <v/>
      </c>
    </row>
    <row r="91" customFormat="false" ht="15" hidden="false" customHeight="false" outlineLevel="0" collapsed="false">
      <c r="A91" s="23"/>
      <c r="B91" s="10"/>
      <c r="C91" s="10"/>
      <c r="D91" s="12"/>
      <c r="E91" s="10"/>
      <c r="F91" s="10"/>
      <c r="G91" s="10"/>
      <c r="H91" s="23"/>
      <c r="I91" s="10" t="str">
        <f aca="false">IF(AND(B91="",D91=""),"",IF(H91&lt;&gt;"","Cleared","Open"))</f>
        <v/>
      </c>
      <c r="J91" s="27" t="str">
        <f aca="true">IF(OR(A91="",H91&lt;&gt;""),"",TODAY()-A91)</f>
        <v/>
      </c>
    </row>
    <row r="92" customFormat="false" ht="15" hidden="false" customHeight="false" outlineLevel="0" collapsed="false">
      <c r="A92" s="24"/>
      <c r="B92" s="25"/>
      <c r="C92" s="25"/>
      <c r="D92" s="26"/>
      <c r="E92" s="25"/>
      <c r="F92" s="25"/>
      <c r="G92" s="25"/>
      <c r="H92" s="24"/>
      <c r="I92" s="25" t="str">
        <f aca="false">IF(AND(B92="",D92=""),"",IF(H92&lt;&gt;"","Cleared","Open"))</f>
        <v/>
      </c>
      <c r="J92" s="28" t="str">
        <f aca="true">IF(OR(A92="",H92&lt;&gt;""),"",TODAY()-A92)</f>
        <v/>
      </c>
    </row>
    <row r="93" customFormat="false" ht="15" hidden="false" customHeight="false" outlineLevel="0" collapsed="false">
      <c r="A93" s="23"/>
      <c r="B93" s="10"/>
      <c r="C93" s="10"/>
      <c r="D93" s="12"/>
      <c r="E93" s="10"/>
      <c r="F93" s="10"/>
      <c r="G93" s="10"/>
      <c r="H93" s="23"/>
      <c r="I93" s="10" t="str">
        <f aca="false">IF(AND(B93="",D93=""),"",IF(H93&lt;&gt;"","Cleared","Open"))</f>
        <v/>
      </c>
      <c r="J93" s="27" t="str">
        <f aca="true">IF(OR(A93="",H93&lt;&gt;""),"",TODAY()-A93)</f>
        <v/>
      </c>
    </row>
    <row r="94" customFormat="false" ht="15" hidden="false" customHeight="false" outlineLevel="0" collapsed="false">
      <c r="A94" s="24"/>
      <c r="B94" s="25"/>
      <c r="C94" s="25"/>
      <c r="D94" s="26"/>
      <c r="E94" s="25"/>
      <c r="F94" s="25"/>
      <c r="G94" s="25"/>
      <c r="H94" s="24"/>
      <c r="I94" s="25" t="str">
        <f aca="false">IF(AND(B94="",D94=""),"",IF(H94&lt;&gt;"","Cleared","Open"))</f>
        <v/>
      </c>
      <c r="J94" s="28" t="str">
        <f aca="true">IF(OR(A94="",H94&lt;&gt;""),"",TODAY()-A94)</f>
        <v/>
      </c>
    </row>
    <row r="95" customFormat="false" ht="15" hidden="false" customHeight="false" outlineLevel="0" collapsed="false">
      <c r="A95" s="23"/>
      <c r="B95" s="10"/>
      <c r="C95" s="10"/>
      <c r="D95" s="12"/>
      <c r="E95" s="10"/>
      <c r="F95" s="10"/>
      <c r="G95" s="10"/>
      <c r="H95" s="23"/>
      <c r="I95" s="10" t="str">
        <f aca="false">IF(AND(B95="",D95=""),"",IF(H95&lt;&gt;"","Cleared","Open"))</f>
        <v/>
      </c>
      <c r="J95" s="27" t="str">
        <f aca="true">IF(OR(A95="",H95&lt;&gt;""),"",TODAY()-A95)</f>
        <v/>
      </c>
    </row>
    <row r="96" customFormat="false" ht="15" hidden="false" customHeight="false" outlineLevel="0" collapsed="false">
      <c r="A96" s="24"/>
      <c r="B96" s="25"/>
      <c r="C96" s="25"/>
      <c r="D96" s="26"/>
      <c r="E96" s="25"/>
      <c r="F96" s="25"/>
      <c r="G96" s="25"/>
      <c r="H96" s="24"/>
      <c r="I96" s="25" t="str">
        <f aca="false">IF(AND(B96="",D96=""),"",IF(H96&lt;&gt;"","Cleared","Open"))</f>
        <v/>
      </c>
      <c r="J96" s="28" t="str">
        <f aca="true">IF(OR(A96="",H96&lt;&gt;""),"",TODAY()-A96)</f>
        <v/>
      </c>
    </row>
    <row r="97" customFormat="false" ht="15" hidden="false" customHeight="false" outlineLevel="0" collapsed="false">
      <c r="A97" s="23"/>
      <c r="B97" s="10"/>
      <c r="C97" s="10"/>
      <c r="D97" s="12"/>
      <c r="E97" s="10"/>
      <c r="F97" s="10"/>
      <c r="G97" s="10"/>
      <c r="H97" s="23"/>
      <c r="I97" s="10" t="str">
        <f aca="false">IF(AND(B97="",D97=""),"",IF(H97&lt;&gt;"","Cleared","Open"))</f>
        <v/>
      </c>
      <c r="J97" s="27" t="str">
        <f aca="true">IF(OR(A97="",H97&lt;&gt;""),"",TODAY()-A97)</f>
        <v/>
      </c>
    </row>
    <row r="98" customFormat="false" ht="15" hidden="false" customHeight="false" outlineLevel="0" collapsed="false">
      <c r="A98" s="24"/>
      <c r="B98" s="25"/>
      <c r="C98" s="25"/>
      <c r="D98" s="26"/>
      <c r="E98" s="25"/>
      <c r="F98" s="25"/>
      <c r="G98" s="25"/>
      <c r="H98" s="24"/>
      <c r="I98" s="25" t="str">
        <f aca="false">IF(AND(B98="",D98=""),"",IF(H98&lt;&gt;"","Cleared","Open"))</f>
        <v/>
      </c>
      <c r="J98" s="28" t="str">
        <f aca="true">IF(OR(A98="",H98&lt;&gt;""),"",TODAY()-A98)</f>
        <v/>
      </c>
    </row>
    <row r="99" customFormat="false" ht="15" hidden="false" customHeight="false" outlineLevel="0" collapsed="false">
      <c r="A99" s="23"/>
      <c r="B99" s="10"/>
      <c r="C99" s="10"/>
      <c r="D99" s="12"/>
      <c r="E99" s="10"/>
      <c r="F99" s="10"/>
      <c r="G99" s="10"/>
      <c r="H99" s="23"/>
      <c r="I99" s="10" t="str">
        <f aca="false">IF(AND(B99="",D99=""),"",IF(H99&lt;&gt;"","Cleared","Open"))</f>
        <v/>
      </c>
      <c r="J99" s="27" t="str">
        <f aca="true">IF(OR(A99="",H99&lt;&gt;""),"",TODAY()-A99)</f>
        <v/>
      </c>
    </row>
    <row r="100" customFormat="false" ht="15" hidden="false" customHeight="false" outlineLevel="0" collapsed="false">
      <c r="A100" s="24"/>
      <c r="B100" s="25"/>
      <c r="C100" s="25"/>
      <c r="D100" s="26"/>
      <c r="E100" s="25"/>
      <c r="F100" s="25"/>
      <c r="G100" s="25"/>
      <c r="H100" s="24"/>
      <c r="I100" s="25" t="str">
        <f aca="false">IF(AND(B100="",D100=""),"",IF(H100&lt;&gt;"","Cleared","Open"))</f>
        <v/>
      </c>
      <c r="J100" s="28" t="str">
        <f aca="true">IF(OR(A100="",H100&lt;&gt;""),"",TODAY()-A100)</f>
        <v/>
      </c>
    </row>
    <row r="101" customFormat="false" ht="15" hidden="false" customHeight="false" outlineLevel="0" collapsed="false">
      <c r="A101" s="23"/>
      <c r="B101" s="10"/>
      <c r="C101" s="10"/>
      <c r="D101" s="12"/>
      <c r="E101" s="10"/>
      <c r="F101" s="10"/>
      <c r="G101" s="10"/>
      <c r="H101" s="23"/>
      <c r="I101" s="10" t="str">
        <f aca="false">IF(AND(B101="",D101=""),"",IF(H101&lt;&gt;"","Cleared","Open"))</f>
        <v/>
      </c>
      <c r="J101" s="27" t="str">
        <f aca="true">IF(OR(A101="",H101&lt;&gt;""),"",TODAY()-A101)</f>
        <v/>
      </c>
    </row>
    <row r="102" customFormat="false" ht="15" hidden="false" customHeight="false" outlineLevel="0" collapsed="false">
      <c r="A102" s="24"/>
      <c r="B102" s="25"/>
      <c r="C102" s="25"/>
      <c r="D102" s="26"/>
      <c r="E102" s="25"/>
      <c r="F102" s="25"/>
      <c r="G102" s="25"/>
      <c r="H102" s="24"/>
      <c r="I102" s="25" t="str">
        <f aca="false">IF(AND(B102="",D102=""),"",IF(H102&lt;&gt;"","Cleared","Open"))</f>
        <v/>
      </c>
      <c r="J102" s="28" t="str">
        <f aca="true">IF(OR(A102="",H102&lt;&gt;""),"",TODAY()-A102)</f>
        <v/>
      </c>
    </row>
    <row r="103" customFormat="false" ht="15" hidden="false" customHeight="false" outlineLevel="0" collapsed="false">
      <c r="A103" s="23"/>
      <c r="B103" s="10"/>
      <c r="C103" s="10"/>
      <c r="D103" s="12"/>
      <c r="E103" s="10"/>
      <c r="F103" s="10"/>
      <c r="G103" s="10"/>
      <c r="H103" s="23"/>
      <c r="I103" s="10" t="str">
        <f aca="false">IF(AND(B103="",D103=""),"",IF(H103&lt;&gt;"","Cleared","Open"))</f>
        <v/>
      </c>
      <c r="J103" s="27" t="str">
        <f aca="true">IF(OR(A103="",H103&lt;&gt;""),"",TODAY()-A103)</f>
        <v/>
      </c>
    </row>
    <row r="104" customFormat="false" ht="15" hidden="false" customHeight="false" outlineLevel="0" collapsed="false">
      <c r="A104" s="24"/>
      <c r="B104" s="25"/>
      <c r="C104" s="25"/>
      <c r="D104" s="26"/>
      <c r="E104" s="25"/>
      <c r="F104" s="25"/>
      <c r="G104" s="25"/>
      <c r="H104" s="24"/>
      <c r="I104" s="25" t="str">
        <f aca="false">IF(AND(B104="",D104=""),"",IF(H104&lt;&gt;"","Cleared","Open"))</f>
        <v/>
      </c>
      <c r="J104" s="28" t="str">
        <f aca="true">IF(OR(A104="",H104&lt;&gt;""),"",TODAY()-A104)</f>
        <v/>
      </c>
    </row>
  </sheetData>
  <conditionalFormatting sqref="I5:I104">
    <cfRule type="cellIs" priority="2" operator="equal" aboveAverage="0" equalAverage="0" bottom="0" percent="0" rank="0" text="" dxfId="2">
      <formula>"Open"</formula>
    </cfRule>
    <cfRule type="cellIs" priority="3" operator="equal" aboveAverage="0" equalAverage="0" bottom="0" percent="0" rank="0" text="" dxfId="0">
      <formula>"Cleared"</formula>
    </cfRule>
  </conditionalFormatting>
  <dataValidations count="1">
    <dataValidation allowBlank="true" errorStyle="stop" operator="between" showDropDown="false" showErrorMessage="false" showInputMessage="false" sqref="E5:E104" type="list">
      <formula1>"Missing reference,Amount mismatch,Unidentified payer,Duplicate payment,Closed account,Other"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2026-09-30T02:43:12Z</dcterms:created>
  <dc:creator>openpyxl</dc:creator>
  <dc:description/>
  <dc:language>en-US</dc:language>
  <cp:lastModifiedBy/>
  <dcterms:modified xsi:type="dcterms:W3CDTF">2026-09-30T02:43:12Z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