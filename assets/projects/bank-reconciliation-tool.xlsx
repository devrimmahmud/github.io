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Reconciliation" sheetId="2" state="visible" r:id="rId4"/>
    <sheet name="Bank Statement" sheetId="3" state="visible" r:id="rId5"/>
    <sheet name="General Ledger" sheetId="4" state="visible" r:id="rId6"/>
  </sheets>
  <definedNames>
    <definedName function="false" hidden="false" localSheetId="1" name="_xlnm.Print_Area" vbProcedure="false">Reconciliation!$A$1:$E$21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<sst xmlns="http://schemas.openxmlformats.org/spreadsheetml/2006/main" count="172" uniqueCount="91">
  <si>
    <t xml:space="preserve">Monthly Bank Reconciliation Tool</t>
  </si>
  <si>
    <t xml:space="preserve">Illustrative sample data for a fictional company. Not from any employer. Built by Tahsin Devrim Mahmud.</t>
  </si>
  <si>
    <t xml:space="preserve">PURPOSE: Reconcile the bank statement to the general ledger cash account and surface every reconciling item automatically.</t>
  </si>
  <si>
    <t xml:space="preserve">1. Paste the bank statement into 'Bank Statement' (Date, Reference, Description, Amount). Deposits positive, withdrawals negative.</t>
  </si>
  <si>
    <t xml:space="preserve">2. Paste the cash account detail into 'General Ledger' in the same format.</t>
  </si>
  <si>
    <t xml:space="preserve">3. Enter the closing balances in the yellow cells on the 'Reconciliation' sheet.</t>
  </si>
  <si>
    <t xml:space="preserve">4. Each line is matched on Reference + Amount (COUNTIFS). Unmatched items are classified automatically:</t>
  </si>
  <si>
    <t xml:space="preserve">     - GL items not on bank: deposits in transit (+) or outstanding cheques (-)</t>
  </si>
  <si>
    <t xml:space="preserve">     - Bank items not in GL: bank fees, interest, NSF items to be journalized</t>
  </si>
  <si>
    <t xml:space="preserve">5. The status cell turns green and reads RECONCILED when adjusted bank balance = adjusted book balance.</t>
  </si>
  <si>
    <t xml:space="preserve">Colour legend: blue text = inputs; black = formulas; yellow fill = cells you fill in.</t>
  </si>
  <si>
    <t xml:space="preserve">Bank Reconciliation - August 31, 2026</t>
  </si>
  <si>
    <t xml:space="preserve">BANK SIDE</t>
  </si>
  <si>
    <t xml:space="preserve">Amount</t>
  </si>
  <si>
    <t xml:space="preserve">BOOK (GL) SIDE</t>
  </si>
  <si>
    <t xml:space="preserve">Balance per bank statement</t>
  </si>
  <si>
    <t xml:space="preserve">Balance per general ledger</t>
  </si>
  <si>
    <t xml:space="preserve">Add: deposits in transit</t>
  </si>
  <si>
    <t xml:space="preserve">Add: bank credits not recorded (interest)</t>
  </si>
  <si>
    <t xml:space="preserve">Less: outstanding cheques</t>
  </si>
  <si>
    <t xml:space="preserve">Less: bank debits not recorded (fees, NSF)</t>
  </si>
  <si>
    <t xml:space="preserve">Adjusted bank balance</t>
  </si>
  <si>
    <t xml:space="preserve">Adjusted book balance</t>
  </si>
  <si>
    <t xml:space="preserve">Difference (should be zero)</t>
  </si>
  <si>
    <t xml:space="preserve">Status</t>
  </si>
  <si>
    <t xml:space="preserve">Reconciliation statistics</t>
  </si>
  <si>
    <t xml:space="preserve">Journal entries required (book side)</t>
  </si>
  <si>
    <t xml:space="preserve">GL items</t>
  </si>
  <si>
    <t xml:space="preserve">Dr Bank Service Charges / Cr Cash</t>
  </si>
  <si>
    <t xml:space="preserve">Bank items</t>
  </si>
  <si>
    <t xml:space="preserve">Dr Cash / Cr Interest Income</t>
  </si>
  <si>
    <t xml:space="preserve">Items auto-matched</t>
  </si>
  <si>
    <t xml:space="preserve">Dr Accounts Receivable / Cr Cash (NSF)</t>
  </si>
  <si>
    <t xml:space="preserve">Match rate</t>
  </si>
  <si>
    <t xml:space="preserve">Reconciling items to review</t>
  </si>
  <si>
    <t xml:space="preserve">Notes</t>
  </si>
  <si>
    <t xml:space="preserve">Opening balance used to derive closing balances: $48,250.00 (sample assumption).</t>
  </si>
  <si>
    <t xml:space="preserve">Matching logic: an item is 'matched' when the same Reference and Amount appear on the other side (COUNTIFS).</t>
  </si>
  <si>
    <t xml:space="preserve">Bank Statement - August 2026</t>
  </si>
  <si>
    <t xml:space="preserve">Date</t>
  </si>
  <si>
    <t xml:space="preserve">Reference</t>
  </si>
  <si>
    <t xml:space="preserve">Description</t>
  </si>
  <si>
    <t xml:space="preserve">Matched?</t>
  </si>
  <si>
    <t xml:space="preserve">DEP-1001</t>
  </si>
  <si>
    <t xml:space="preserve">Deposit - Maple Leaf Events</t>
  </si>
  <si>
    <t xml:space="preserve">CHQ-1002</t>
  </si>
  <si>
    <t xml:space="preserve">Chq - Hydro One</t>
  </si>
  <si>
    <t xml:space="preserve">DEP-1003</t>
  </si>
  <si>
    <t xml:space="preserve">Deposit - Summit Dental</t>
  </si>
  <si>
    <t xml:space="preserve">CHQ-1004</t>
  </si>
  <si>
    <t xml:space="preserve">Chq - Bell Canada</t>
  </si>
  <si>
    <t xml:space="preserve">DEP-1005</t>
  </si>
  <si>
    <t xml:space="preserve">CHQ-1006</t>
  </si>
  <si>
    <t xml:space="preserve">DEP-1007</t>
  </si>
  <si>
    <t xml:space="preserve">Deposit - Northwind Traders</t>
  </si>
  <si>
    <t xml:space="preserve">DEP-1009</t>
  </si>
  <si>
    <t xml:space="preserve">CHQ-1010</t>
  </si>
  <si>
    <t xml:space="preserve">Chq - Enbridge Gas</t>
  </si>
  <si>
    <t xml:space="preserve">DEP-1011</t>
  </si>
  <si>
    <t xml:space="preserve">CHQ-1012</t>
  </si>
  <si>
    <t xml:space="preserve">DEP-1013</t>
  </si>
  <si>
    <t xml:space="preserve">CHQ-1014</t>
  </si>
  <si>
    <t xml:space="preserve">DEP-1015</t>
  </si>
  <si>
    <t xml:space="preserve">CHQ-1016</t>
  </si>
  <si>
    <t xml:space="preserve">DEP-1017</t>
  </si>
  <si>
    <t xml:space="preserve">CHQ-1018</t>
  </si>
  <si>
    <t xml:space="preserve">Chq - Cintas Uniforms</t>
  </si>
  <si>
    <t xml:space="preserve">DEP-1019</t>
  </si>
  <si>
    <t xml:space="preserve">CHQ-1020</t>
  </si>
  <si>
    <t xml:space="preserve">Chq - Grand &amp; Toy</t>
  </si>
  <si>
    <t xml:space="preserve">NSF-2231</t>
  </si>
  <si>
    <t xml:space="preserve">NSF cheque returned - Summit Dental</t>
  </si>
  <si>
    <t xml:space="preserve">DEP-1021</t>
  </si>
  <si>
    <t xml:space="preserve">CHQ-1022</t>
  </si>
  <si>
    <t xml:space="preserve">DEP-1023</t>
  </si>
  <si>
    <t xml:space="preserve">CHQ-1024</t>
  </si>
  <si>
    <t xml:space="preserve">DEP-1025</t>
  </si>
  <si>
    <t xml:space="preserve">Deposit - Lakeview Catering</t>
  </si>
  <si>
    <t xml:space="preserve">CHQ-1026</t>
  </si>
  <si>
    <t xml:space="preserve">Chq - Sysco Canada</t>
  </si>
  <si>
    <t xml:space="preserve">SVC-FEE</t>
  </si>
  <si>
    <t xml:space="preserve">Monthly account service fee</t>
  </si>
  <si>
    <t xml:space="preserve">INT-0831</t>
  </si>
  <si>
    <t xml:space="preserve">Interest earned</t>
  </si>
  <si>
    <t xml:space="preserve">Net activity</t>
  </si>
  <si>
    <t xml:space="preserve">General Ledger - August 2026</t>
  </si>
  <si>
    <t xml:space="preserve">CHQ-1008</t>
  </si>
  <si>
    <t xml:space="preserve">DEP-1027</t>
  </si>
  <si>
    <t xml:space="preserve">CHQ-1028</t>
  </si>
  <si>
    <t xml:space="preserve">DEP-1029</t>
  </si>
  <si>
    <t xml:space="preserve">CHQ-1030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</si>
</sst>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;\(0.0%\);\-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82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21"/>
        <bgColor rgb="FF000000"/>
      </patternFill>
    </fill>
    <fill>
      <patternFill patternType="solid">
        <fgColor rgb="FFFFF59D"/>
        <bgColor rgb="FFF3F5F8"/>
      </patternFill>
    </fill>
    <fill>
      <patternFill patternType="solid">
        <fgColor rgb="FFF3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8E6C9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5F8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82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4" t="s">
        <v>12</v>
      </c>
      <c r="B4" s="4" t="s">
        <v>13</v>
      </c>
      <c r="D4" s="5" t="s">
        <v>14</v>
      </c>
      <c r="E4" s="5" t="s">
        <v>13</v>
      </c>
    </row>
    <row r="5" customFormat="false" ht="15" hidden="false" customHeight="false" outlineLevel="0" collapsed="false">
      <c r="A5" s="6" t="s">
        <v>15</v>
      </c>
      <c r="B5" s="7" t="n">
        <v>90087.22</v>
      </c>
      <c r="D5" s="6" t="s">
        <v>16</v>
      </c>
      <c r="E5" s="7" t="n">
        <v>96645.08</v>
      </c>
    </row>
    <row r="6" customFormat="false" ht="15" hidden="false" customHeight="false" outlineLevel="0" collapsed="false">
      <c r="A6" s="6" t="s">
        <v>17</v>
      </c>
      <c r="B6" s="8" t="n">
        <f aca="false">SUMIFS('General Ledger'!$D$5:$D$200,'General Ledger'!$E$5:$E$200,"No",'General Ledger'!$D$5:$D$200,"&gt;0")</f>
        <v>12388.87</v>
      </c>
      <c r="D6" s="6" t="s">
        <v>18</v>
      </c>
      <c r="E6" s="8" t="n">
        <f aca="false">SUMIFS('Bank Statement'!$D$5:$D$200,'Bank Statement'!$E$5:$E$200,"No",'Bank Statement'!$D$5:$D$200,"&gt;0")</f>
        <v>18.62</v>
      </c>
    </row>
    <row r="7" customFormat="false" ht="15" hidden="false" customHeight="false" outlineLevel="0" collapsed="false">
      <c r="A7" s="6" t="s">
        <v>19</v>
      </c>
      <c r="B7" s="8" t="n">
        <f aca="false">SUMIFS('General Ledger'!$D$5:$D$200,'General Ledger'!$E$5:$E$200,"No",'General Ledger'!$D$5:$D$200,"&lt;0")</f>
        <v>-7107.39</v>
      </c>
      <c r="D7" s="6" t="s">
        <v>20</v>
      </c>
      <c r="E7" s="8" t="n">
        <f aca="false">SUMIFS('Bank Statement'!$D$5:$D$200,'Bank Statement'!$E$5:$E$200,"No",'Bank Statement'!$D$5:$D$200,"&lt;0")</f>
        <v>-1295</v>
      </c>
    </row>
    <row r="8" customFormat="false" ht="15" hidden="false" customHeight="false" outlineLevel="0" collapsed="false">
      <c r="A8" s="9" t="s">
        <v>21</v>
      </c>
      <c r="B8" s="10" t="n">
        <f aca="false">SUM(B5:B7)</f>
        <v>95368.7</v>
      </c>
      <c r="D8" s="9" t="s">
        <v>22</v>
      </c>
      <c r="E8" s="10" t="n">
        <f aca="false">SUM(E5:E7)</f>
        <v>95368.7</v>
      </c>
    </row>
    <row r="10" customFormat="false" ht="15" hidden="false" customHeight="false" outlineLevel="0" collapsed="false">
      <c r="A10" s="11" t="s">
        <v>23</v>
      </c>
      <c r="B10" s="12" t="n">
        <f aca="false">ROUND(B8-E8,2)</f>
        <v>0</v>
      </c>
      <c r="D10" s="11" t="s">
        <v>24</v>
      </c>
      <c r="E10" s="13" t="str">
        <f aca="false">IF(B10=0,"RECONCILED","INVESTIGATE")</f>
        <v>RECONCILED</v>
      </c>
    </row>
    <row r="12" customFormat="false" ht="15" hidden="false" customHeight="false" outlineLevel="0" collapsed="false">
      <c r="A12" s="11" t="s">
        <v>25</v>
      </c>
      <c r="D12" s="11" t="s">
        <v>26</v>
      </c>
    </row>
    <row r="13" customFormat="false" ht="15" hidden="false" customHeight="false" outlineLevel="0" collapsed="false">
      <c r="A13" s="6" t="s">
        <v>27</v>
      </c>
      <c r="B13" s="6" t="n">
        <f aca="false">COUNTA('General Ledger'!$B$5:$B$200)</f>
        <v>30</v>
      </c>
      <c r="D13" s="6" t="s">
        <v>28</v>
      </c>
      <c r="E13" s="8" t="n">
        <f aca="false">-SUMIFS('Bank Statement'!$D$5:$D$200,'Bank Statement'!$B$5:$B$200,"SVC*",'Bank Statement'!$E$5:$E$200,"No")</f>
        <v>45</v>
      </c>
    </row>
    <row r="14" customFormat="false" ht="15" hidden="false" customHeight="false" outlineLevel="0" collapsed="false">
      <c r="A14" s="6" t="s">
        <v>29</v>
      </c>
      <c r="B14" s="6" t="n">
        <f aca="false">COUNTA('Bank Statement'!$B$5:$B$200)</f>
        <v>28</v>
      </c>
      <c r="D14" s="6" t="s">
        <v>30</v>
      </c>
      <c r="E14" s="8" t="n">
        <f aca="false">SUMIFS('Bank Statement'!$D$5:$D$200,'Bank Statement'!$B$5:$B$200,"INT*",'Bank Statement'!$E$5:$E$200,"No")</f>
        <v>18.62</v>
      </c>
    </row>
    <row r="15" customFormat="false" ht="15" hidden="false" customHeight="false" outlineLevel="0" collapsed="false">
      <c r="A15" s="6" t="s">
        <v>31</v>
      </c>
      <c r="B15" s="6" t="n">
        <f aca="false">COUNTIF('General Ledger'!$E$5:$E$200,"Yes")</f>
        <v>25</v>
      </c>
      <c r="D15" s="6" t="s">
        <v>32</v>
      </c>
      <c r="E15" s="8" t="n">
        <f aca="false">-SUMIFS('Bank Statement'!$D$5:$D$200,'Bank Statement'!$B$5:$B$200,"NSF*",'Bank Statement'!$E$5:$E$200,"No")</f>
        <v>1250</v>
      </c>
    </row>
    <row r="16" customFormat="false" ht="15" hidden="false" customHeight="false" outlineLevel="0" collapsed="false">
      <c r="A16" s="6" t="s">
        <v>33</v>
      </c>
      <c r="B16" s="14" t="n">
        <f aca="false">IFERROR(B15/B13,0)</f>
        <v>0.833333333333333</v>
      </c>
    </row>
    <row r="17" customFormat="false" ht="15" hidden="false" customHeight="false" outlineLevel="0" collapsed="false">
      <c r="A17" s="6" t="s">
        <v>34</v>
      </c>
      <c r="B17" s="6" t="n">
        <f aca="false">COUNTIF('General Ledger'!$E$5:$E$200,"No")+COUNTIF('Bank Statement'!$E$5:$E$200,"No")</f>
        <v>8</v>
      </c>
    </row>
    <row r="19" customFormat="false" ht="15" hidden="false" customHeight="false" outlineLevel="0" collapsed="false">
      <c r="A19" s="11" t="s">
        <v>35</v>
      </c>
    </row>
    <row r="20" customFormat="false" ht="15" hidden="false" customHeight="false" outlineLevel="0" collapsed="false">
      <c r="A20" s="2" t="s">
        <v>36</v>
      </c>
    </row>
    <row r="21" customFormat="false" ht="15" hidden="false" customHeight="false" outlineLevel="0" collapsed="false">
      <c r="A21" s="2" t="s">
        <v>37</v>
      </c>
    </row>
  </sheetData>
  <conditionalFormatting sqref="E10">
    <cfRule type="cellIs" priority="2" operator="equal" aboveAverage="0" equalAverage="0" bottom="0" percent="0" rank="0" text="" dxfId="0">
      <formula>"RECONCILED"</formula>
    </cfRule>
    <cfRule type="cellIs" priority="3" operator="equal" aboveAverage="0" equalAverage="0" bottom="0" percent="0" rank="0" text="" dxfId="1">
      <formula>"INVESTIGATE"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4" t="s">
        <v>39</v>
      </c>
      <c r="B4" s="4" t="s">
        <v>40</v>
      </c>
      <c r="C4" s="4" t="s">
        <v>41</v>
      </c>
      <c r="D4" s="4" t="s">
        <v>13</v>
      </c>
      <c r="E4" s="4" t="s">
        <v>42</v>
      </c>
    </row>
    <row r="5" customFormat="false" ht="15" hidden="false" customHeight="false" outlineLevel="0" collapsed="false">
      <c r="A5" s="15" t="n">
        <v>46236</v>
      </c>
      <c r="B5" s="16" t="s">
        <v>43</v>
      </c>
      <c r="C5" s="16" t="s">
        <v>44</v>
      </c>
      <c r="D5" s="17" t="n">
        <v>4293.51</v>
      </c>
      <c r="E5" s="18" t="str">
        <f aca="false">IF(COUNTIFS('General Ledger'!$B$5:$B$200,B5,'General Ledger'!$D$5:$D$200,D5)&gt;0,"Yes","No")</f>
        <v>Yes</v>
      </c>
    </row>
    <row r="6" customFormat="false" ht="15" hidden="false" customHeight="false" outlineLevel="0" collapsed="false">
      <c r="A6" s="19" t="n">
        <v>46237</v>
      </c>
      <c r="B6" s="20" t="s">
        <v>45</v>
      </c>
      <c r="C6" s="20" t="s">
        <v>46</v>
      </c>
      <c r="D6" s="21" t="n">
        <v>-1809.55</v>
      </c>
      <c r="E6" s="22" t="str">
        <f aca="false">IF(COUNTIFS('General Ledger'!$B$5:$B$200,B6,'General Ledger'!$D$5:$D$200,D6)&gt;0,"Yes","No")</f>
        <v>Yes</v>
      </c>
    </row>
    <row r="7" customFormat="false" ht="15" hidden="false" customHeight="false" outlineLevel="0" collapsed="false">
      <c r="A7" s="15" t="n">
        <v>46238</v>
      </c>
      <c r="B7" s="16" t="s">
        <v>47</v>
      </c>
      <c r="C7" s="16" t="s">
        <v>48</v>
      </c>
      <c r="D7" s="17" t="n">
        <v>2357.76</v>
      </c>
      <c r="E7" s="18" t="str">
        <f aca="false">IF(COUNTIFS('General Ledger'!$B$5:$B$200,B7,'General Ledger'!$D$5:$D$200,D7)&gt;0,"Yes","No")</f>
        <v>Yes</v>
      </c>
    </row>
    <row r="8" customFormat="false" ht="15" hidden="false" customHeight="false" outlineLevel="0" collapsed="false">
      <c r="A8" s="19" t="n">
        <v>46239</v>
      </c>
      <c r="B8" s="20" t="s">
        <v>49</v>
      </c>
      <c r="C8" s="20" t="s">
        <v>50</v>
      </c>
      <c r="D8" s="21" t="n">
        <v>-621.81</v>
      </c>
      <c r="E8" s="22" t="str">
        <f aca="false">IF(COUNTIFS('General Ledger'!$B$5:$B$200,B8,'General Ledger'!$D$5:$D$200,D8)&gt;0,"Yes","No")</f>
        <v>Yes</v>
      </c>
    </row>
    <row r="9" customFormat="false" ht="15" hidden="false" customHeight="false" outlineLevel="0" collapsed="false">
      <c r="A9" s="15" t="n">
        <v>46240</v>
      </c>
      <c r="B9" s="16" t="s">
        <v>51</v>
      </c>
      <c r="C9" s="16" t="s">
        <v>48</v>
      </c>
      <c r="D9" s="17" t="n">
        <v>2246.59</v>
      </c>
      <c r="E9" s="18" t="str">
        <f aca="false">IF(COUNTIFS('General Ledger'!$B$5:$B$200,B9,'General Ledger'!$D$5:$D$200,D9)&gt;0,"Yes","No")</f>
        <v>Yes</v>
      </c>
    </row>
    <row r="10" customFormat="false" ht="15" hidden="false" customHeight="false" outlineLevel="0" collapsed="false">
      <c r="A10" s="19" t="n">
        <v>46241</v>
      </c>
      <c r="B10" s="20" t="s">
        <v>52</v>
      </c>
      <c r="C10" s="20" t="s">
        <v>46</v>
      </c>
      <c r="D10" s="21" t="n">
        <v>-1098.06</v>
      </c>
      <c r="E10" s="22" t="str">
        <f aca="false">IF(COUNTIFS('General Ledger'!$B$5:$B$200,B10,'General Ledger'!$D$5:$D$200,D10)&gt;0,"Yes","No")</f>
        <v>Yes</v>
      </c>
    </row>
    <row r="11" customFormat="false" ht="15" hidden="false" customHeight="false" outlineLevel="0" collapsed="false">
      <c r="A11" s="15" t="n">
        <v>46242</v>
      </c>
      <c r="B11" s="16" t="s">
        <v>53</v>
      </c>
      <c r="C11" s="16" t="s">
        <v>54</v>
      </c>
      <c r="D11" s="17" t="n">
        <v>5139.07</v>
      </c>
      <c r="E11" s="18" t="str">
        <f aca="false">IF(COUNTIFS('General Ledger'!$B$5:$B$200,B11,'General Ledger'!$D$5:$D$200,D11)&gt;0,"Yes","No")</f>
        <v>Yes</v>
      </c>
    </row>
    <row r="12" customFormat="false" ht="15" hidden="false" customHeight="false" outlineLevel="0" collapsed="false">
      <c r="A12" s="19" t="n">
        <v>46244</v>
      </c>
      <c r="B12" s="20" t="s">
        <v>55</v>
      </c>
      <c r="C12" s="20" t="s">
        <v>48</v>
      </c>
      <c r="D12" s="21" t="n">
        <v>5068.8</v>
      </c>
      <c r="E12" s="22" t="str">
        <f aca="false">IF(COUNTIFS('General Ledger'!$B$5:$B$200,B12,'General Ledger'!$D$5:$D$200,D12)&gt;0,"Yes","No")</f>
        <v>Yes</v>
      </c>
    </row>
    <row r="13" customFormat="false" ht="15" hidden="false" customHeight="false" outlineLevel="0" collapsed="false">
      <c r="A13" s="15" t="n">
        <v>46245</v>
      </c>
      <c r="B13" s="16" t="s">
        <v>56</v>
      </c>
      <c r="C13" s="16" t="s">
        <v>57</v>
      </c>
      <c r="D13" s="17" t="n">
        <v>-739.02</v>
      </c>
      <c r="E13" s="18" t="str">
        <f aca="false">IF(COUNTIFS('General Ledger'!$B$5:$B$200,B13,'General Ledger'!$D$5:$D$200,D13)&gt;0,"Yes","No")</f>
        <v>Yes</v>
      </c>
    </row>
    <row r="14" customFormat="false" ht="15" hidden="false" customHeight="false" outlineLevel="0" collapsed="false">
      <c r="A14" s="19" t="n">
        <v>46246</v>
      </c>
      <c r="B14" s="20" t="s">
        <v>58</v>
      </c>
      <c r="C14" s="20" t="s">
        <v>48</v>
      </c>
      <c r="D14" s="21" t="n">
        <v>6655.82</v>
      </c>
      <c r="E14" s="22" t="str">
        <f aca="false">IF(COUNTIFS('General Ledger'!$B$5:$B$200,B14,'General Ledger'!$D$5:$D$200,D14)&gt;0,"Yes","No")</f>
        <v>Yes</v>
      </c>
    </row>
    <row r="15" customFormat="false" ht="15" hidden="false" customHeight="false" outlineLevel="0" collapsed="false">
      <c r="A15" s="15" t="n">
        <v>46247</v>
      </c>
      <c r="B15" s="16" t="s">
        <v>59</v>
      </c>
      <c r="C15" s="16" t="s">
        <v>50</v>
      </c>
      <c r="D15" s="17" t="n">
        <v>-3993.45</v>
      </c>
      <c r="E15" s="18" t="str">
        <f aca="false">IF(COUNTIFS('General Ledger'!$B$5:$B$200,B15,'General Ledger'!$D$5:$D$200,D15)&gt;0,"Yes","No")</f>
        <v>Yes</v>
      </c>
    </row>
    <row r="16" customFormat="false" ht="15" hidden="false" customHeight="false" outlineLevel="0" collapsed="false">
      <c r="A16" s="19" t="n">
        <v>46248</v>
      </c>
      <c r="B16" s="20" t="s">
        <v>60</v>
      </c>
      <c r="C16" s="20" t="s">
        <v>54</v>
      </c>
      <c r="D16" s="21" t="n">
        <v>6308.67</v>
      </c>
      <c r="E16" s="22" t="str">
        <f aca="false">IF(COUNTIFS('General Ledger'!$B$5:$B$200,B16,'General Ledger'!$D$5:$D$200,D16)&gt;0,"Yes","No")</f>
        <v>Yes</v>
      </c>
    </row>
    <row r="17" customFormat="false" ht="15" hidden="false" customHeight="false" outlineLevel="0" collapsed="false">
      <c r="A17" s="15" t="n">
        <v>46249</v>
      </c>
      <c r="B17" s="16" t="s">
        <v>61</v>
      </c>
      <c r="C17" s="16" t="s">
        <v>46</v>
      </c>
      <c r="D17" s="17" t="n">
        <v>-4106.21</v>
      </c>
      <c r="E17" s="18" t="str">
        <f aca="false">IF(COUNTIFS('General Ledger'!$B$5:$B$200,B17,'General Ledger'!$D$5:$D$200,D17)&gt;0,"Yes","No")</f>
        <v>Yes</v>
      </c>
    </row>
    <row r="18" customFormat="false" ht="15" hidden="false" customHeight="false" outlineLevel="0" collapsed="false">
      <c r="A18" s="19" t="n">
        <v>46250</v>
      </c>
      <c r="B18" s="20" t="s">
        <v>62</v>
      </c>
      <c r="C18" s="20" t="s">
        <v>44</v>
      </c>
      <c r="D18" s="21" t="n">
        <v>6086.32</v>
      </c>
      <c r="E18" s="22" t="str">
        <f aca="false">IF(COUNTIFS('General Ledger'!$B$5:$B$200,B18,'General Ledger'!$D$5:$D$200,D18)&gt;0,"Yes","No")</f>
        <v>Yes</v>
      </c>
    </row>
    <row r="19" customFormat="false" ht="15" hidden="false" customHeight="false" outlineLevel="0" collapsed="false">
      <c r="A19" s="15" t="n">
        <v>46251</v>
      </c>
      <c r="B19" s="16" t="s">
        <v>63</v>
      </c>
      <c r="C19" s="16" t="s">
        <v>57</v>
      </c>
      <c r="D19" s="17" t="n">
        <v>-1393.96</v>
      </c>
      <c r="E19" s="18" t="str">
        <f aca="false">IF(COUNTIFS('General Ledger'!$B$5:$B$200,B19,'General Ledger'!$D$5:$D$200,D19)&gt;0,"Yes","No")</f>
        <v>Yes</v>
      </c>
    </row>
    <row r="20" customFormat="false" ht="15" hidden="false" customHeight="false" outlineLevel="0" collapsed="false">
      <c r="A20" s="19" t="n">
        <v>46252</v>
      </c>
      <c r="B20" s="20" t="s">
        <v>64</v>
      </c>
      <c r="C20" s="20" t="s">
        <v>48</v>
      </c>
      <c r="D20" s="21" t="n">
        <v>5963.28</v>
      </c>
      <c r="E20" s="22" t="str">
        <f aca="false">IF(COUNTIFS('General Ledger'!$B$5:$B$200,B20,'General Ledger'!$D$5:$D$200,D20)&gt;0,"Yes","No")</f>
        <v>Yes</v>
      </c>
    </row>
    <row r="21" customFormat="false" ht="15" hidden="false" customHeight="false" outlineLevel="0" collapsed="false">
      <c r="A21" s="15" t="n">
        <v>46253</v>
      </c>
      <c r="B21" s="16" t="s">
        <v>65</v>
      </c>
      <c r="C21" s="16" t="s">
        <v>66</v>
      </c>
      <c r="D21" s="17" t="n">
        <v>-1468.5</v>
      </c>
      <c r="E21" s="18" t="str">
        <f aca="false">IF(COUNTIFS('General Ledger'!$B$5:$B$200,B21,'General Ledger'!$D$5:$D$200,D21)&gt;0,"Yes","No")</f>
        <v>Yes</v>
      </c>
    </row>
    <row r="22" customFormat="false" ht="15" hidden="false" customHeight="false" outlineLevel="0" collapsed="false">
      <c r="A22" s="19" t="n">
        <v>46254</v>
      </c>
      <c r="B22" s="20" t="s">
        <v>67</v>
      </c>
      <c r="C22" s="20" t="s">
        <v>54</v>
      </c>
      <c r="D22" s="21" t="n">
        <v>7051.42</v>
      </c>
      <c r="E22" s="22" t="str">
        <f aca="false">IF(COUNTIFS('General Ledger'!$B$5:$B$200,B22,'General Ledger'!$D$5:$D$200,D22)&gt;0,"Yes","No")</f>
        <v>Yes</v>
      </c>
    </row>
    <row r="23" customFormat="false" ht="15" hidden="false" customHeight="false" outlineLevel="0" collapsed="false">
      <c r="A23" s="15" t="n">
        <v>46255</v>
      </c>
      <c r="B23" s="16" t="s">
        <v>68</v>
      </c>
      <c r="C23" s="16" t="s">
        <v>69</v>
      </c>
      <c r="D23" s="17" t="n">
        <v>-2547.32</v>
      </c>
      <c r="E23" s="18" t="str">
        <f aca="false">IF(COUNTIFS('General Ledger'!$B$5:$B$200,B23,'General Ledger'!$D$5:$D$200,D23)&gt;0,"Yes","No")</f>
        <v>Yes</v>
      </c>
    </row>
    <row r="24" customFormat="false" ht="15" hidden="false" customHeight="false" outlineLevel="0" collapsed="false">
      <c r="A24" s="19" t="n">
        <v>46255</v>
      </c>
      <c r="B24" s="20" t="s">
        <v>70</v>
      </c>
      <c r="C24" s="20" t="s">
        <v>71</v>
      </c>
      <c r="D24" s="21" t="n">
        <v>-1250</v>
      </c>
      <c r="E24" s="22" t="str">
        <f aca="false">IF(COUNTIFS('General Ledger'!$B$5:$B$200,B24,'General Ledger'!$D$5:$D$200,D24)&gt;0,"Yes","No")</f>
        <v>No</v>
      </c>
    </row>
    <row r="25" customFormat="false" ht="15" hidden="false" customHeight="false" outlineLevel="0" collapsed="false">
      <c r="A25" s="15" t="n">
        <v>46256</v>
      </c>
      <c r="B25" s="16" t="s">
        <v>72</v>
      </c>
      <c r="C25" s="16" t="s">
        <v>54</v>
      </c>
      <c r="D25" s="17" t="n">
        <v>3246.61</v>
      </c>
      <c r="E25" s="18" t="str">
        <f aca="false">IF(COUNTIFS('General Ledger'!$B$5:$B$200,B25,'General Ledger'!$D$5:$D$200,D25)&gt;0,"Yes","No")</f>
        <v>Yes</v>
      </c>
    </row>
    <row r="26" customFormat="false" ht="15" hidden="false" customHeight="false" outlineLevel="0" collapsed="false">
      <c r="A26" s="19" t="n">
        <v>46257</v>
      </c>
      <c r="B26" s="20" t="s">
        <v>73</v>
      </c>
      <c r="C26" s="20" t="s">
        <v>46</v>
      </c>
      <c r="D26" s="21" t="n">
        <v>-2413.59</v>
      </c>
      <c r="E26" s="22" t="str">
        <f aca="false">IF(COUNTIFS('General Ledger'!$B$5:$B$200,B26,'General Ledger'!$D$5:$D$200,D26)&gt;0,"Yes","No")</f>
        <v>Yes</v>
      </c>
    </row>
    <row r="27" customFormat="false" ht="15" hidden="false" customHeight="false" outlineLevel="0" collapsed="false">
      <c r="A27" s="15" t="n">
        <v>46258</v>
      </c>
      <c r="B27" s="16" t="s">
        <v>74</v>
      </c>
      <c r="C27" s="16" t="s">
        <v>48</v>
      </c>
      <c r="D27" s="17" t="n">
        <v>6145.64</v>
      </c>
      <c r="E27" s="18" t="str">
        <f aca="false">IF(COUNTIFS('General Ledger'!$B$5:$B$200,B27,'General Ledger'!$D$5:$D$200,D27)&gt;0,"Yes","No")</f>
        <v>Yes</v>
      </c>
    </row>
    <row r="28" customFormat="false" ht="15" hidden="false" customHeight="false" outlineLevel="0" collapsed="false">
      <c r="A28" s="19" t="n">
        <v>46259</v>
      </c>
      <c r="B28" s="20" t="s">
        <v>75</v>
      </c>
      <c r="C28" s="20" t="s">
        <v>69</v>
      </c>
      <c r="D28" s="21" t="n">
        <v>-1063.54</v>
      </c>
      <c r="E28" s="22" t="str">
        <f aca="false">IF(COUNTIFS('General Ledger'!$B$5:$B$200,B28,'General Ledger'!$D$5:$D$200,D28)&gt;0,"Yes","No")</f>
        <v>Yes</v>
      </c>
    </row>
    <row r="29" customFormat="false" ht="15" hidden="false" customHeight="false" outlineLevel="0" collapsed="false">
      <c r="A29" s="15" t="n">
        <v>46260</v>
      </c>
      <c r="B29" s="16" t="s">
        <v>76</v>
      </c>
      <c r="C29" s="16" t="s">
        <v>77</v>
      </c>
      <c r="D29" s="17" t="n">
        <v>5894.25</v>
      </c>
      <c r="E29" s="18" t="str">
        <f aca="false">IF(COUNTIFS('General Ledger'!$B$5:$B$200,B29,'General Ledger'!$D$5:$D$200,D29)&gt;0,"Yes","No")</f>
        <v>Yes</v>
      </c>
    </row>
    <row r="30" customFormat="false" ht="15" hidden="false" customHeight="false" outlineLevel="0" collapsed="false">
      <c r="A30" s="19" t="n">
        <v>46261</v>
      </c>
      <c r="B30" s="20" t="s">
        <v>78</v>
      </c>
      <c r="C30" s="20" t="s">
        <v>79</v>
      </c>
      <c r="D30" s="21" t="n">
        <v>-2089.13</v>
      </c>
      <c r="E30" s="22" t="str">
        <f aca="false">IF(COUNTIFS('General Ledger'!$B$5:$B$200,B30,'General Ledger'!$D$5:$D$200,D30)&gt;0,"Yes","No")</f>
        <v>Yes</v>
      </c>
    </row>
    <row r="31" customFormat="false" ht="15" hidden="false" customHeight="false" outlineLevel="0" collapsed="false">
      <c r="A31" s="15" t="n">
        <v>46265</v>
      </c>
      <c r="B31" s="16" t="s">
        <v>80</v>
      </c>
      <c r="C31" s="16" t="s">
        <v>81</v>
      </c>
      <c r="D31" s="17" t="n">
        <v>-45</v>
      </c>
      <c r="E31" s="18" t="str">
        <f aca="false">IF(COUNTIFS('General Ledger'!$B$5:$B$200,B31,'General Ledger'!$D$5:$D$200,D31)&gt;0,"Yes","No")</f>
        <v>No</v>
      </c>
    </row>
    <row r="32" customFormat="false" ht="15" hidden="false" customHeight="false" outlineLevel="0" collapsed="false">
      <c r="A32" s="19" t="n">
        <v>46265</v>
      </c>
      <c r="B32" s="20" t="s">
        <v>82</v>
      </c>
      <c r="C32" s="20" t="s">
        <v>83</v>
      </c>
      <c r="D32" s="21" t="n">
        <v>18.62</v>
      </c>
      <c r="E32" s="22" t="str">
        <f aca="false">IF(COUNTIFS('General Ledger'!$B$5:$B$200,B32,'General Ledger'!$D$5:$D$200,D32)&gt;0,"Yes","No")</f>
        <v>No</v>
      </c>
    </row>
    <row r="33" customFormat="false" ht="15" hidden="false" customHeight="false" outlineLevel="0" collapsed="false">
      <c r="C33" s="11" t="s">
        <v>84</v>
      </c>
      <c r="D33" s="12" t="n">
        <f aca="false">SUM(D5:D32)</f>
        <v>41837.22</v>
      </c>
    </row>
  </sheetData>
  <conditionalFormatting sqref="E5:E32">
    <cfRule type="cellIs" priority="2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4" t="s">
        <v>39</v>
      </c>
      <c r="B4" s="4" t="s">
        <v>40</v>
      </c>
      <c r="C4" s="4" t="s">
        <v>41</v>
      </c>
      <c r="D4" s="4" t="s">
        <v>13</v>
      </c>
      <c r="E4" s="4" t="s">
        <v>42</v>
      </c>
    </row>
    <row r="5" customFormat="false" ht="15" hidden="false" customHeight="false" outlineLevel="0" collapsed="false">
      <c r="A5" s="15" t="n">
        <v>46235</v>
      </c>
      <c r="B5" s="16" t="s">
        <v>43</v>
      </c>
      <c r="C5" s="16" t="s">
        <v>44</v>
      </c>
      <c r="D5" s="17" t="n">
        <v>4293.51</v>
      </c>
      <c r="E5" s="18" t="str">
        <f aca="false">IF(COUNTIFS('Bank Statement'!$B$5:$B$200,B5,'Bank Statement'!$D$5:$D$200,D5)&gt;0,"Yes","No")</f>
        <v>Yes</v>
      </c>
    </row>
    <row r="6" customFormat="false" ht="15" hidden="false" customHeight="false" outlineLevel="0" collapsed="false">
      <c r="A6" s="19" t="n">
        <v>46236</v>
      </c>
      <c r="B6" s="20" t="s">
        <v>45</v>
      </c>
      <c r="C6" s="20" t="s">
        <v>46</v>
      </c>
      <c r="D6" s="21" t="n">
        <v>-1809.55</v>
      </c>
      <c r="E6" s="22" t="str">
        <f aca="false">IF(COUNTIFS('Bank Statement'!$B$5:$B$200,B6,'Bank Statement'!$D$5:$D$200,D6)&gt;0,"Yes","No")</f>
        <v>Yes</v>
      </c>
    </row>
    <row r="7" customFormat="false" ht="15" hidden="false" customHeight="false" outlineLevel="0" collapsed="false">
      <c r="A7" s="15" t="n">
        <v>46237</v>
      </c>
      <c r="B7" s="16" t="s">
        <v>47</v>
      </c>
      <c r="C7" s="16" t="s">
        <v>48</v>
      </c>
      <c r="D7" s="17" t="n">
        <v>2357.76</v>
      </c>
      <c r="E7" s="18" t="str">
        <f aca="false">IF(COUNTIFS('Bank Statement'!$B$5:$B$200,B7,'Bank Statement'!$D$5:$D$200,D7)&gt;0,"Yes","No")</f>
        <v>Yes</v>
      </c>
    </row>
    <row r="8" customFormat="false" ht="15" hidden="false" customHeight="false" outlineLevel="0" collapsed="false">
      <c r="A8" s="19" t="n">
        <v>46238</v>
      </c>
      <c r="B8" s="20" t="s">
        <v>49</v>
      </c>
      <c r="C8" s="20" t="s">
        <v>50</v>
      </c>
      <c r="D8" s="21" t="n">
        <v>-621.81</v>
      </c>
      <c r="E8" s="22" t="str">
        <f aca="false">IF(COUNTIFS('Bank Statement'!$B$5:$B$200,B8,'Bank Statement'!$D$5:$D$200,D8)&gt;0,"Yes","No")</f>
        <v>Yes</v>
      </c>
    </row>
    <row r="9" customFormat="false" ht="15" hidden="false" customHeight="false" outlineLevel="0" collapsed="false">
      <c r="A9" s="15" t="n">
        <v>46239</v>
      </c>
      <c r="B9" s="16" t="s">
        <v>51</v>
      </c>
      <c r="C9" s="16" t="s">
        <v>48</v>
      </c>
      <c r="D9" s="17" t="n">
        <v>2246.59</v>
      </c>
      <c r="E9" s="18" t="str">
        <f aca="false">IF(COUNTIFS('Bank Statement'!$B$5:$B$200,B9,'Bank Statement'!$D$5:$D$200,D9)&gt;0,"Yes","No")</f>
        <v>Yes</v>
      </c>
    </row>
    <row r="10" customFormat="false" ht="15" hidden="false" customHeight="false" outlineLevel="0" collapsed="false">
      <c r="A10" s="19" t="n">
        <v>46240</v>
      </c>
      <c r="B10" s="20" t="s">
        <v>52</v>
      </c>
      <c r="C10" s="20" t="s">
        <v>46</v>
      </c>
      <c r="D10" s="21" t="n">
        <v>-1098.06</v>
      </c>
      <c r="E10" s="22" t="str">
        <f aca="false">IF(COUNTIFS('Bank Statement'!$B$5:$B$200,B10,'Bank Statement'!$D$5:$D$200,D10)&gt;0,"Yes","No")</f>
        <v>Yes</v>
      </c>
    </row>
    <row r="11" customFormat="false" ht="15" hidden="false" customHeight="false" outlineLevel="0" collapsed="false">
      <c r="A11" s="15" t="n">
        <v>46241</v>
      </c>
      <c r="B11" s="16" t="s">
        <v>53</v>
      </c>
      <c r="C11" s="16" t="s">
        <v>54</v>
      </c>
      <c r="D11" s="17" t="n">
        <v>5139.07</v>
      </c>
      <c r="E11" s="18" t="str">
        <f aca="false">IF(COUNTIFS('Bank Statement'!$B$5:$B$200,B11,'Bank Statement'!$D$5:$D$200,D11)&gt;0,"Yes","No")</f>
        <v>Yes</v>
      </c>
    </row>
    <row r="12" customFormat="false" ht="15" hidden="false" customHeight="false" outlineLevel="0" collapsed="false">
      <c r="A12" s="19" t="n">
        <v>46242</v>
      </c>
      <c r="B12" s="20" t="s">
        <v>86</v>
      </c>
      <c r="C12" s="20" t="s">
        <v>50</v>
      </c>
      <c r="D12" s="21" t="n">
        <v>-1200.62</v>
      </c>
      <c r="E12" s="22" t="str">
        <f aca="false">IF(COUNTIFS('Bank Statement'!$B$5:$B$200,B12,'Bank Statement'!$D$5:$D$200,D12)&gt;0,"Yes","No")</f>
        <v>No</v>
      </c>
    </row>
    <row r="13" customFormat="false" ht="15" hidden="false" customHeight="false" outlineLevel="0" collapsed="false">
      <c r="A13" s="15" t="n">
        <v>46243</v>
      </c>
      <c r="B13" s="16" t="s">
        <v>55</v>
      </c>
      <c r="C13" s="16" t="s">
        <v>48</v>
      </c>
      <c r="D13" s="17" t="n">
        <v>5068.8</v>
      </c>
      <c r="E13" s="18" t="str">
        <f aca="false">IF(COUNTIFS('Bank Statement'!$B$5:$B$200,B13,'Bank Statement'!$D$5:$D$200,D13)&gt;0,"Yes","No")</f>
        <v>Yes</v>
      </c>
    </row>
    <row r="14" customFormat="false" ht="15" hidden="false" customHeight="false" outlineLevel="0" collapsed="false">
      <c r="A14" s="19" t="n">
        <v>46244</v>
      </c>
      <c r="B14" s="20" t="s">
        <v>56</v>
      </c>
      <c r="C14" s="20" t="s">
        <v>57</v>
      </c>
      <c r="D14" s="21" t="n">
        <v>-739.02</v>
      </c>
      <c r="E14" s="22" t="str">
        <f aca="false">IF(COUNTIFS('Bank Statement'!$B$5:$B$200,B14,'Bank Statement'!$D$5:$D$200,D14)&gt;0,"Yes","No")</f>
        <v>Yes</v>
      </c>
    </row>
    <row r="15" customFormat="false" ht="15" hidden="false" customHeight="false" outlineLevel="0" collapsed="false">
      <c r="A15" s="15" t="n">
        <v>46245</v>
      </c>
      <c r="B15" s="16" t="s">
        <v>58</v>
      </c>
      <c r="C15" s="16" t="s">
        <v>48</v>
      </c>
      <c r="D15" s="17" t="n">
        <v>6655.82</v>
      </c>
      <c r="E15" s="18" t="str">
        <f aca="false">IF(COUNTIFS('Bank Statement'!$B$5:$B$200,B15,'Bank Statement'!$D$5:$D$200,D15)&gt;0,"Yes","No")</f>
        <v>Yes</v>
      </c>
    </row>
    <row r="16" customFormat="false" ht="15" hidden="false" customHeight="false" outlineLevel="0" collapsed="false">
      <c r="A16" s="19" t="n">
        <v>46246</v>
      </c>
      <c r="B16" s="20" t="s">
        <v>59</v>
      </c>
      <c r="C16" s="20" t="s">
        <v>50</v>
      </c>
      <c r="D16" s="21" t="n">
        <v>-3993.45</v>
      </c>
      <c r="E16" s="22" t="str">
        <f aca="false">IF(COUNTIFS('Bank Statement'!$B$5:$B$200,B16,'Bank Statement'!$D$5:$D$200,D16)&gt;0,"Yes","No")</f>
        <v>Yes</v>
      </c>
    </row>
    <row r="17" customFormat="false" ht="15" hidden="false" customHeight="false" outlineLevel="0" collapsed="false">
      <c r="A17" s="15" t="n">
        <v>46247</v>
      </c>
      <c r="B17" s="16" t="s">
        <v>60</v>
      </c>
      <c r="C17" s="16" t="s">
        <v>54</v>
      </c>
      <c r="D17" s="17" t="n">
        <v>6308.67</v>
      </c>
      <c r="E17" s="18" t="str">
        <f aca="false">IF(COUNTIFS('Bank Statement'!$B$5:$B$200,B17,'Bank Statement'!$D$5:$D$200,D17)&gt;0,"Yes","No")</f>
        <v>Yes</v>
      </c>
    </row>
    <row r="18" customFormat="false" ht="15" hidden="false" customHeight="false" outlineLevel="0" collapsed="false">
      <c r="A18" s="19" t="n">
        <v>46248</v>
      </c>
      <c r="B18" s="20" t="s">
        <v>61</v>
      </c>
      <c r="C18" s="20" t="s">
        <v>46</v>
      </c>
      <c r="D18" s="21" t="n">
        <v>-4106.21</v>
      </c>
      <c r="E18" s="22" t="str">
        <f aca="false">IF(COUNTIFS('Bank Statement'!$B$5:$B$200,B18,'Bank Statement'!$D$5:$D$200,D18)&gt;0,"Yes","No")</f>
        <v>Yes</v>
      </c>
    </row>
    <row r="19" customFormat="false" ht="15" hidden="false" customHeight="false" outlineLevel="0" collapsed="false">
      <c r="A19" s="15" t="n">
        <v>46249</v>
      </c>
      <c r="B19" s="16" t="s">
        <v>62</v>
      </c>
      <c r="C19" s="16" t="s">
        <v>44</v>
      </c>
      <c r="D19" s="17" t="n">
        <v>6086.32</v>
      </c>
      <c r="E19" s="18" t="str">
        <f aca="false">IF(COUNTIFS('Bank Statement'!$B$5:$B$200,B19,'Bank Statement'!$D$5:$D$200,D19)&gt;0,"Yes","No")</f>
        <v>Yes</v>
      </c>
    </row>
    <row r="20" customFormat="false" ht="15" hidden="false" customHeight="false" outlineLevel="0" collapsed="false">
      <c r="A20" s="19" t="n">
        <v>46250</v>
      </c>
      <c r="B20" s="20" t="s">
        <v>63</v>
      </c>
      <c r="C20" s="20" t="s">
        <v>57</v>
      </c>
      <c r="D20" s="21" t="n">
        <v>-1393.96</v>
      </c>
      <c r="E20" s="22" t="str">
        <f aca="false">IF(COUNTIFS('Bank Statement'!$B$5:$B$200,B20,'Bank Statement'!$D$5:$D$200,D20)&gt;0,"Yes","No")</f>
        <v>Yes</v>
      </c>
    </row>
    <row r="21" customFormat="false" ht="15" hidden="false" customHeight="false" outlineLevel="0" collapsed="false">
      <c r="A21" s="15" t="n">
        <v>46251</v>
      </c>
      <c r="B21" s="16" t="s">
        <v>64</v>
      </c>
      <c r="C21" s="16" t="s">
        <v>48</v>
      </c>
      <c r="D21" s="17" t="n">
        <v>5963.28</v>
      </c>
      <c r="E21" s="18" t="str">
        <f aca="false">IF(COUNTIFS('Bank Statement'!$B$5:$B$200,B21,'Bank Statement'!$D$5:$D$200,D21)&gt;0,"Yes","No")</f>
        <v>Yes</v>
      </c>
    </row>
    <row r="22" customFormat="false" ht="15" hidden="false" customHeight="false" outlineLevel="0" collapsed="false">
      <c r="A22" s="19" t="n">
        <v>46252</v>
      </c>
      <c r="B22" s="20" t="s">
        <v>65</v>
      </c>
      <c r="C22" s="20" t="s">
        <v>66</v>
      </c>
      <c r="D22" s="21" t="n">
        <v>-1468.5</v>
      </c>
      <c r="E22" s="22" t="str">
        <f aca="false">IF(COUNTIFS('Bank Statement'!$B$5:$B$200,B22,'Bank Statement'!$D$5:$D$200,D22)&gt;0,"Yes","No")</f>
        <v>Yes</v>
      </c>
    </row>
    <row r="23" customFormat="false" ht="15" hidden="false" customHeight="false" outlineLevel="0" collapsed="false">
      <c r="A23" s="15" t="n">
        <v>46253</v>
      </c>
      <c r="B23" s="16" t="s">
        <v>67</v>
      </c>
      <c r="C23" s="16" t="s">
        <v>54</v>
      </c>
      <c r="D23" s="17" t="n">
        <v>7051.42</v>
      </c>
      <c r="E23" s="18" t="str">
        <f aca="false">IF(COUNTIFS('Bank Statement'!$B$5:$B$200,B23,'Bank Statement'!$D$5:$D$200,D23)&gt;0,"Yes","No")</f>
        <v>Yes</v>
      </c>
    </row>
    <row r="24" customFormat="false" ht="15" hidden="false" customHeight="false" outlineLevel="0" collapsed="false">
      <c r="A24" s="19" t="n">
        <v>46254</v>
      </c>
      <c r="B24" s="20" t="s">
        <v>68</v>
      </c>
      <c r="C24" s="20" t="s">
        <v>69</v>
      </c>
      <c r="D24" s="21" t="n">
        <v>-2547.32</v>
      </c>
      <c r="E24" s="22" t="str">
        <f aca="false">IF(COUNTIFS('Bank Statement'!$B$5:$B$200,B24,'Bank Statement'!$D$5:$D$200,D24)&gt;0,"Yes","No")</f>
        <v>Yes</v>
      </c>
    </row>
    <row r="25" customFormat="false" ht="15" hidden="false" customHeight="false" outlineLevel="0" collapsed="false">
      <c r="A25" s="15" t="n">
        <v>46255</v>
      </c>
      <c r="B25" s="16" t="s">
        <v>72</v>
      </c>
      <c r="C25" s="16" t="s">
        <v>54</v>
      </c>
      <c r="D25" s="17" t="n">
        <v>3246.61</v>
      </c>
      <c r="E25" s="18" t="str">
        <f aca="false">IF(COUNTIFS('Bank Statement'!$B$5:$B$200,B25,'Bank Statement'!$D$5:$D$200,D25)&gt;0,"Yes","No")</f>
        <v>Yes</v>
      </c>
    </row>
    <row r="26" customFormat="false" ht="15" hidden="false" customHeight="false" outlineLevel="0" collapsed="false">
      <c r="A26" s="19" t="n">
        <v>46256</v>
      </c>
      <c r="B26" s="20" t="s">
        <v>73</v>
      </c>
      <c r="C26" s="20" t="s">
        <v>46</v>
      </c>
      <c r="D26" s="21" t="n">
        <v>-2413.59</v>
      </c>
      <c r="E26" s="22" t="str">
        <f aca="false">IF(COUNTIFS('Bank Statement'!$B$5:$B$200,B26,'Bank Statement'!$D$5:$D$200,D26)&gt;0,"Yes","No")</f>
        <v>Yes</v>
      </c>
    </row>
    <row r="27" customFormat="false" ht="15" hidden="false" customHeight="false" outlineLevel="0" collapsed="false">
      <c r="A27" s="15" t="n">
        <v>46257</v>
      </c>
      <c r="B27" s="16" t="s">
        <v>74</v>
      </c>
      <c r="C27" s="16" t="s">
        <v>48</v>
      </c>
      <c r="D27" s="17" t="n">
        <v>6145.64</v>
      </c>
      <c r="E27" s="18" t="str">
        <f aca="false">IF(COUNTIFS('Bank Statement'!$B$5:$B$200,B27,'Bank Statement'!$D$5:$D$200,D27)&gt;0,"Yes","No")</f>
        <v>Yes</v>
      </c>
    </row>
    <row r="28" customFormat="false" ht="15" hidden="false" customHeight="false" outlineLevel="0" collapsed="false">
      <c r="A28" s="19" t="n">
        <v>46258</v>
      </c>
      <c r="B28" s="20" t="s">
        <v>75</v>
      </c>
      <c r="C28" s="20" t="s">
        <v>69</v>
      </c>
      <c r="D28" s="21" t="n">
        <v>-1063.54</v>
      </c>
      <c r="E28" s="22" t="str">
        <f aca="false">IF(COUNTIFS('Bank Statement'!$B$5:$B$200,B28,'Bank Statement'!$D$5:$D$200,D28)&gt;0,"Yes","No")</f>
        <v>Yes</v>
      </c>
    </row>
    <row r="29" customFormat="false" ht="15" hidden="false" customHeight="false" outlineLevel="0" collapsed="false">
      <c r="A29" s="15" t="n">
        <v>46259</v>
      </c>
      <c r="B29" s="16" t="s">
        <v>76</v>
      </c>
      <c r="C29" s="16" t="s">
        <v>77</v>
      </c>
      <c r="D29" s="17" t="n">
        <v>5894.25</v>
      </c>
      <c r="E29" s="18" t="str">
        <f aca="false">IF(COUNTIFS('Bank Statement'!$B$5:$B$200,B29,'Bank Statement'!$D$5:$D$200,D29)&gt;0,"Yes","No")</f>
        <v>Yes</v>
      </c>
    </row>
    <row r="30" customFormat="false" ht="15" hidden="false" customHeight="false" outlineLevel="0" collapsed="false">
      <c r="A30" s="19" t="n">
        <v>46260</v>
      </c>
      <c r="B30" s="20" t="s">
        <v>78</v>
      </c>
      <c r="C30" s="20" t="s">
        <v>79</v>
      </c>
      <c r="D30" s="21" t="n">
        <v>-2089.13</v>
      </c>
      <c r="E30" s="22" t="str">
        <f aca="false">IF(COUNTIFS('Bank Statement'!$B$5:$B$200,B30,'Bank Statement'!$D$5:$D$200,D30)&gt;0,"Yes","No")</f>
        <v>Yes</v>
      </c>
    </row>
    <row r="31" customFormat="false" ht="15" hidden="false" customHeight="false" outlineLevel="0" collapsed="false">
      <c r="A31" s="15" t="n">
        <v>46261</v>
      </c>
      <c r="B31" s="16" t="s">
        <v>87</v>
      </c>
      <c r="C31" s="16" t="s">
        <v>44</v>
      </c>
      <c r="D31" s="17" t="n">
        <v>4584.18</v>
      </c>
      <c r="E31" s="18" t="str">
        <f aca="false">IF(COUNTIFS('Bank Statement'!$B$5:$B$200,B31,'Bank Statement'!$D$5:$D$200,D31)&gt;0,"Yes","No")</f>
        <v>No</v>
      </c>
    </row>
    <row r="32" customFormat="false" ht="15" hidden="false" customHeight="false" outlineLevel="0" collapsed="false">
      <c r="A32" s="19" t="n">
        <v>46262</v>
      </c>
      <c r="B32" s="20" t="s">
        <v>88</v>
      </c>
      <c r="C32" s="20" t="s">
        <v>69</v>
      </c>
      <c r="D32" s="21" t="n">
        <v>-3387.8</v>
      </c>
      <c r="E32" s="22" t="str">
        <f aca="false">IF(COUNTIFS('Bank Statement'!$B$5:$B$200,B32,'Bank Statement'!$D$5:$D$200,D32)&gt;0,"Yes","No")</f>
        <v>No</v>
      </c>
    </row>
    <row r="33" customFormat="false" ht="15" hidden="false" customHeight="false" outlineLevel="0" collapsed="false">
      <c r="A33" s="15" t="n">
        <v>46263</v>
      </c>
      <c r="B33" s="16" t="s">
        <v>89</v>
      </c>
      <c r="C33" s="16" t="s">
        <v>54</v>
      </c>
      <c r="D33" s="17" t="n">
        <v>7804.69</v>
      </c>
      <c r="E33" s="18" t="str">
        <f aca="false">IF(COUNTIFS('Bank Statement'!$B$5:$B$200,B33,'Bank Statement'!$D$5:$D$200,D33)&gt;0,"Yes","No")</f>
        <v>No</v>
      </c>
    </row>
    <row r="34" customFormat="false" ht="15" hidden="false" customHeight="false" outlineLevel="0" collapsed="false">
      <c r="A34" s="19" t="n">
        <v>46264</v>
      </c>
      <c r="B34" s="20" t="s">
        <v>90</v>
      </c>
      <c r="C34" s="20" t="s">
        <v>50</v>
      </c>
      <c r="D34" s="21" t="n">
        <v>-2518.97</v>
      </c>
      <c r="E34" s="22" t="str">
        <f aca="false">IF(COUNTIFS('Bank Statement'!$B$5:$B$200,B34,'Bank Statement'!$D$5:$D$200,D34)&gt;0,"Yes","No")</f>
        <v>No</v>
      </c>
    </row>
    <row r="35" customFormat="false" ht="15" hidden="false" customHeight="false" outlineLevel="0" collapsed="false">
      <c r="C35" s="11" t="s">
        <v>84</v>
      </c>
      <c r="D35" s="12" t="n">
        <f aca="false">SUM(D5:D34)</f>
        <v>48395.08</v>
      </c>
    </row>
  </sheetData>
  <conditionalFormatting sqref="E5:E34">
    <cfRule type="cellIs" priority="2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2026-09-29T09:16:46Z</dcterms:created>
  <dc:creator>openpyxl</dc:creator>
  <dc:description/>
  <dc:language>en-US</dc:language>
  <cp:lastModifiedBy/>
  <dcterms:modified xsi:type="dcterms:W3CDTF">2026-09-29T09:16:46Z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