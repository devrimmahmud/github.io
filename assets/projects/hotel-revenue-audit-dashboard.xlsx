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Night Audit" sheetId="2" state="visible" r:id="rId4"/>
  </sheets>
  <definedNames>
    <definedName function="false" hidden="false" localSheetId="0" name="_xlnm.Print_Area" vbProcedure="false">Dashboard!$A$1:$H$55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<sst xmlns="http://schemas.openxmlformats.org/spreadsheetml/2006/main" count="37" uniqueCount="35">
  <si>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Hotel Revenue Audit Dashboard - September 2026 MTD</t>
  </si>
  <si>
    <t xml:space="preserve">Fictional 250-room hotel. Illustrative sample data for a fictional company. Not from any employer. Built by Tahsin Devrim Mahmud.</t>
  </si>
  <si>
    <t xml:space="preserve">Cash variance tolerance (per day)</t>
  </si>
  <si>
    <t xml:space="preserve">KEY PERFORMANCE INDICATORS</t>
  </si>
  <si>
    <t xml:space="preserve">Total revenue (MTD)</t>
  </si>
  <si>
    <t xml:space="preserve">Room revenue (MTD)</t>
  </si>
  <si>
    <t xml:space="preserve">Occupancy (MTD)</t>
  </si>
  <si>
    <t xml:space="preserve">ADR - average daily rate</t>
  </si>
  <si>
    <t xml:space="preserve">RevPAR</t>
  </si>
  <si>
    <t xml:space="preserve">Net cash over/(short)</t>
  </si>
  <si>
    <t xml:space="preserve">Days flagged for investigation</t>
  </si>
  <si>
    <t xml:space="preserve">Largest single-day shortage</t>
  </si>
  <si>
    <t xml:space="preserve">REVENUE MIX (MTD)</t>
  </si>
  <si>
    <t xml:space="preserve">Rooms</t>
  </si>
  <si>
    <t xml:space="preserve">Food &amp; Beverage</t>
  </si>
  <si>
    <t xml:space="preserve">Other</t>
  </si>
  <si>
    <t xml:space="preserve">Notes</t>
  </si>
  <si>
    <t xml:space="preserve">Occupancy = rooms sold / rooms available. ADR = room revenue / rooms sold. RevPAR = room revenue / rooms available.</t>
  </si>
  <si>
    <t xml:space="preserve">A day is flagged when |cash over/short| exceeds the tolerance in C5. Card settlements = total revenue less cash expected.</t>
  </si>
  <si>
    <t xml:space="preserve">Daily Revenue &amp; Night Audit Log - September 2026</t>
  </si>
  <si>
    <t xml:space="preserve">Date</t>
  </si>
  <si>
    <t xml:space="preserve">Rooms Available</t>
  </si>
  <si>
    <t xml:space="preserve">Rooms Sold</t>
  </si>
  <si>
    <t xml:space="preserve">Room Revenue</t>
  </si>
  <si>
    <t xml:space="preserve">F&amp;B Revenue</t>
  </si>
  <si>
    <t xml:space="preserve">Other Revenue</t>
  </si>
  <si>
    <t xml:space="preserve">Total Revenue</t>
  </si>
  <si>
    <t xml:space="preserve">Card Settlements</t>
  </si>
  <si>
    <t xml:space="preserve">Cash Expected</t>
  </si>
  <si>
    <t xml:space="preserve">Cash Deposited</t>
  </si>
  <si>
    <t xml:space="preserve">Cash Over/(Short)</t>
  </si>
  <si>
    <t xml:space="preserve">Occupancy</t>
  </si>
  <si>
    <t xml:space="preserve">ADR</t>
  </si>
  <si>
    <t xml:space="preserve">Audit Flag</t>
  </si>
  <si>
    <t xml:space="preserve">MTD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</si>
</sst>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yyyy\-mm\-dd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E31B6D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9D"/>
        <bgColor rgb="FFF3F5F8"/>
      </patternFill>
    </fill>
    <fill>
      <patternFill patternType="solid">
        <fgColor rgb="FF111821"/>
        <bgColor rgb="FF000000"/>
      </patternFill>
    </fill>
    <fill>
      <patternFill patternType="solid">
        <fgColor rgb="FFF3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DD2"/>
        </patternFill>
      </fill>
    </dxf>
    <dxf>
      <font>
        <name val="Arial"/>
        <charset val="1"/>
        <family val="0"/>
        <b val="1"/>
        <color rgb="FFC62828"/>
      </font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F5F8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821"/>
      <rgbColor rgb="FF333300"/>
      <rgbColor rgb="FFC62828"/>
      <rgbColor rgb="FF993366"/>
      <rgbColor rgb="FF2E4A6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Total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Night Audit'!G4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e31b6d"/>
            </a:solidFill>
            <a:ln w="28080">
              <a:solidFill>
                <a:srgbClr val="e31b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Night Audit'!$A$5:$A$34</c:f>
              <c:strCache>
                <c:ptCount val="30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</c:strCache>
            </c:strRef>
          </c:cat>
          <c:val>
            <c:numRef>
              <c:f>'Daily Night Audit'!$G$5:$G$34</c:f>
              <c:numCache>
                <c:formatCode>\$#,##0.00;"($"#,##0.00\);\-</c:formatCode>
                <c:ptCount val="30"/>
                <c:pt idx="0">
                  <c:v>53599.59</c:v>
                </c:pt>
                <c:pt idx="1">
                  <c:v>50398.73</c:v>
                </c:pt>
                <c:pt idx="2">
                  <c:v>41788.68</c:v>
                </c:pt>
                <c:pt idx="3">
                  <c:v>68227.84</c:v>
                </c:pt>
                <c:pt idx="4">
                  <c:v>63517.05</c:v>
                </c:pt>
                <c:pt idx="5">
                  <c:v>61673.6</c:v>
                </c:pt>
                <c:pt idx="6">
                  <c:v>41541.09</c:v>
                </c:pt>
                <c:pt idx="7">
                  <c:v>44986.83</c:v>
                </c:pt>
                <c:pt idx="8">
                  <c:v>49113.26</c:v>
                </c:pt>
                <c:pt idx="9">
                  <c:v>48075.08</c:v>
                </c:pt>
                <c:pt idx="10">
                  <c:v>58235.07</c:v>
                </c:pt>
                <c:pt idx="11">
                  <c:v>65680.75</c:v>
                </c:pt>
                <c:pt idx="12">
                  <c:v>70161.38</c:v>
                </c:pt>
                <c:pt idx="13">
                  <c:v>46128.32</c:v>
                </c:pt>
                <c:pt idx="14">
                  <c:v>40973.69</c:v>
                </c:pt>
                <c:pt idx="15">
                  <c:v>38804.72</c:v>
                </c:pt>
                <c:pt idx="16">
                  <c:v>41311.39</c:v>
                </c:pt>
                <c:pt idx="17">
                  <c:v>64810.18</c:v>
                </c:pt>
                <c:pt idx="18">
                  <c:v>55155.25</c:v>
                </c:pt>
                <c:pt idx="19">
                  <c:v>64562.96</c:v>
                </c:pt>
                <c:pt idx="20">
                  <c:v>38822.35</c:v>
                </c:pt>
                <c:pt idx="21">
                  <c:v>48356.48</c:v>
                </c:pt>
                <c:pt idx="22">
                  <c:v>45589.21</c:v>
                </c:pt>
                <c:pt idx="23">
                  <c:v>48049.29</c:v>
                </c:pt>
                <c:pt idx="24">
                  <c:v>59928.29</c:v>
                </c:pt>
                <c:pt idx="25">
                  <c:v>68745.08</c:v>
                </c:pt>
                <c:pt idx="26">
                  <c:v>57190.92</c:v>
                </c:pt>
                <c:pt idx="27">
                  <c:v>38652.88</c:v>
                </c:pt>
                <c:pt idx="28">
                  <c:v>50390.94</c:v>
                </c:pt>
                <c:pt idx="29">
                  <c:v>43557.86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98482"/>
        <c:axId val="15226791"/>
      </c:lineChart>
      <c:catAx>
        <c:axId val="22598482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26791"/>
        <c:crosses val="autoZero"/>
        <c:auto val="1"/>
        <c:lblAlgn val="ctr"/>
        <c:lblOffset val="100"/>
        <c:noMultiLvlLbl val="0"/>
      </c:catAx>
      <c:valAx>
        <c:axId val="15226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98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Cash Over/(Short)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Night Audit'!K4</c:f>
              <c:strCache>
                <c:ptCount val="1"/>
                <c:pt idx="0">
                  <c:v>Cash Over/(Short)</c:v>
                </c:pt>
              </c:strCache>
            </c:strRef>
          </c:tx>
          <c:spPr>
            <a:solidFill>
              <a:srgbClr val="2e4a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Night Audit'!$A$5:$A$34</c:f>
              <c:strCache>
                <c:ptCount val="30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</c:strCache>
            </c:strRef>
          </c:cat>
          <c:val>
            <c:numRef>
              <c:f>'Daily Night Audit'!$K$5:$K$34</c:f>
              <c:numCache>
                <c:formatCode>\$#,##0.00;"($"#,##0.00\);\-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-12.4000000000001</c:v>
                </c:pt>
                <c:pt idx="6">
                  <c:v>0</c:v>
                </c:pt>
                <c:pt idx="7">
                  <c:v>2.5</c:v>
                </c:pt>
                <c:pt idx="8">
                  <c:v>-85</c:v>
                </c:pt>
                <c:pt idx="9">
                  <c:v>0</c:v>
                </c:pt>
                <c:pt idx="10">
                  <c:v>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</c:v>
                </c:pt>
                <c:pt idx="17">
                  <c:v>-12.3999999999996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-85</c:v>
                </c:pt>
                <c:pt idx="22">
                  <c:v>0</c:v>
                </c:pt>
                <c:pt idx="23">
                  <c:v>0</c:v>
                </c:pt>
                <c:pt idx="24">
                  <c:v>-5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-5</c:v>
                </c:pt>
                <c:pt idx="29">
                  <c:v>0</c:v>
                </c:pt>
              </c:numCache>
            </c:numRef>
          </c:val>
        </c:ser>
        <c:gapWidth val="150"/>
        <c:overlap val="0"/>
        <c:axId val="19324373"/>
        <c:axId val="64905503"/>
      </c:barChart>
      <c:catAx>
        <c:axId val="19324373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05503"/>
        <c:crosses val="autoZero"/>
        <c:auto val="1"/>
        <c:lblAlgn val="ctr"/>
        <c:lblOffset val="100"/>
        <c:noMultiLvlLbl val="0"/>
      </c:catAx>
      <c:valAx>
        <c:axId val="64905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24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82800</xdr:rowOff>
    </xdr:from>
    <xdr:to>
      <xdr:col>6</xdr:col>
      <xdr:colOff>1067400</xdr:colOff>
      <xdr:row>33</xdr:row>
      <xdr:rowOff>125640</xdr:rowOff>
    </xdr:to>
    <xdr:graphicFrame>
      <xdr:nvGraphicFramePr>
        <xdr:cNvPr id="0" name="Chart 1"/>
        <xdr:cNvGraphicFramePr/>
      </xdr:nvGraphicFramePr>
      <xdr:xfrm>
        <a:off x="0" y="4191120"/>
        <a:ext cx="71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82440</xdr:rowOff>
    </xdr:from>
    <xdr:to>
      <xdr:col>6</xdr:col>
      <xdr:colOff>1067400</xdr:colOff>
      <xdr:row>48</xdr:row>
      <xdr:rowOff>125640</xdr:rowOff>
    </xdr:to>
    <xdr:graphicFrame>
      <xdr:nvGraphicFramePr>
        <xdr:cNvPr id="1" name="Chart 2"/>
        <xdr:cNvGraphicFramePr/>
      </xdr:nvGraphicFramePr>
      <xdr:xfrm>
        <a:off x="0" y="7048440"/>
        <a:ext cx="71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0" t="s">
        <v>2</v>
      </c>
      <c r="C5" s="3" t="n">
        <v>25</v>
      </c>
    </row>
    <row r="7" customFormat="false" ht="15" hidden="false" customHeight="false" outlineLevel="0" collapsed="false">
      <c r="A7" s="4" t="s">
        <v>3</v>
      </c>
    </row>
    <row r="8" customFormat="false" ht="15" hidden="false" customHeight="false" outlineLevel="0" collapsed="false">
      <c r="A8" s="5" t="s">
        <v>4</v>
      </c>
      <c r="E8" s="5" t="s">
        <v>5</v>
      </c>
    </row>
    <row r="9" customFormat="false" ht="19.7" hidden="false" customHeight="false" outlineLevel="0" collapsed="false">
      <c r="A9" s="6" t="n">
        <f aca="false">'Daily Night Audit'!G35</f>
        <v>1568028.76</v>
      </c>
      <c r="E9" s="6" t="n">
        <f aca="false">'Daily Night Audit'!D35</f>
        <v>1273485.81</v>
      </c>
    </row>
    <row r="10" customFormat="false" ht="15" hidden="false" customHeight="false" outlineLevel="0" collapsed="false">
      <c r="A10" s="5" t="s">
        <v>6</v>
      </c>
      <c r="E10" s="5" t="s">
        <v>7</v>
      </c>
    </row>
    <row r="11" customFormat="false" ht="19.7" hidden="false" customHeight="false" outlineLevel="0" collapsed="false">
      <c r="A11" s="7" t="n">
        <f aca="false">IFERROR('Daily Night Audit'!C35/'Daily Night Audit'!B35,0)</f>
        <v>0.802933333333333</v>
      </c>
      <c r="E11" s="6" t="n">
        <f aca="false">IFERROR('Daily Night Audit'!D35/'Daily Night Audit'!C35,0)</f>
        <v>211.472236798406</v>
      </c>
    </row>
    <row r="12" customFormat="false" ht="15" hidden="false" customHeight="false" outlineLevel="0" collapsed="false">
      <c r="A12" s="5" t="s">
        <v>8</v>
      </c>
      <c r="E12" s="5" t="s">
        <v>9</v>
      </c>
    </row>
    <row r="13" customFormat="false" ht="19.7" hidden="false" customHeight="false" outlineLevel="0" collapsed="false">
      <c r="A13" s="6" t="n">
        <f aca="false">IFERROR('Daily Night Audit'!D35/'Daily Night Audit'!B35,0)</f>
        <v>169.798108</v>
      </c>
      <c r="E13" s="6" t="n">
        <f aca="false">'Daily Night Audit'!K35</f>
        <v>-209.8</v>
      </c>
    </row>
    <row r="14" customFormat="false" ht="15" hidden="false" customHeight="false" outlineLevel="0" collapsed="false">
      <c r="A14" s="5" t="s">
        <v>10</v>
      </c>
      <c r="E14" s="5" t="s">
        <v>11</v>
      </c>
    </row>
    <row r="15" customFormat="false" ht="19.7" hidden="false" customHeight="false" outlineLevel="0" collapsed="false">
      <c r="A15" s="8" t="n">
        <f aca="false">COUNTIF('Daily Night Audit'!O5:O34,"INVESTIGATE")</f>
        <v>2</v>
      </c>
      <c r="E15" s="6" t="n">
        <f aca="false">MIN('Daily Night Audit'!K5:K34)</f>
        <v>-85</v>
      </c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9" t="s">
        <v>13</v>
      </c>
      <c r="C18" s="10" t="n">
        <f aca="false">'Daily Night Audit'!D35</f>
        <v>1273485.81</v>
      </c>
      <c r="E18" s="11" t="n">
        <f aca="false">IFERROR(C18/SUM($C$18:$C$20),0)</f>
        <v>0.812157176249752</v>
      </c>
    </row>
    <row r="19" customFormat="false" ht="15" hidden="false" customHeight="false" outlineLevel="0" collapsed="false">
      <c r="A19" s="9" t="s">
        <v>14</v>
      </c>
      <c r="C19" s="10" t="n">
        <f aca="false">'Daily Night Audit'!E35</f>
        <v>253495.16</v>
      </c>
      <c r="E19" s="11" t="n">
        <f aca="false">IFERROR(C19/SUM($C$18:$C$20),0)</f>
        <v>0.161664866402068</v>
      </c>
    </row>
    <row r="20" customFormat="false" ht="15" hidden="false" customHeight="false" outlineLevel="0" collapsed="false">
      <c r="A20" s="9" t="s">
        <v>15</v>
      </c>
      <c r="C20" s="10" t="n">
        <f aca="false">'Daily Night Audit'!F35</f>
        <v>41047.79</v>
      </c>
      <c r="E20" s="11" t="n">
        <f aca="false">IFERROR(C20/SUM($C$18:$C$20),0)</f>
        <v>0.0261779573481803</v>
      </c>
    </row>
    <row r="53" customFormat="false" ht="15" hidden="false" customHeight="false" outlineLevel="0" collapsed="false">
      <c r="A53" s="12" t="s">
        <v>16</v>
      </c>
    </row>
    <row r="54" customFormat="false" ht="15" hidden="false" customHeight="false" outlineLevel="0" collapsed="false">
      <c r="A54" s="2" t="s">
        <v>17</v>
      </c>
    </row>
    <row r="55" customFormat="false" ht="15" hidden="false" customHeight="false" outlineLevel="0" collapsed="false">
      <c r="A55" s="2" t="s">
        <v>18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1" min="9" style="0" width="13"/>
    <col collapsed="false" customWidth="true" hidden="false" outlineLevel="0" max="12" min="12" style="0" width="10"/>
    <col collapsed="false" customWidth="true" hidden="false" outlineLevel="0" max="14" min="13" style="0" width="11"/>
    <col collapsed="false" customWidth="true" hidden="false" outlineLevel="0" max="15" min="15" style="0" width="1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8</v>
      </c>
      <c r="O4" s="13" t="s">
        <v>33</v>
      </c>
    </row>
    <row r="5" customFormat="false" ht="15" hidden="false" customHeight="false" outlineLevel="0" collapsed="false">
      <c r="A5" s="14" t="n">
        <v>46266</v>
      </c>
      <c r="B5" s="15" t="n">
        <v>250</v>
      </c>
      <c r="C5" s="15" t="n">
        <v>213</v>
      </c>
      <c r="D5" s="16" t="n">
        <v>44837.55</v>
      </c>
      <c r="E5" s="16" t="n">
        <v>7701.34</v>
      </c>
      <c r="F5" s="16" t="n">
        <v>1060.7</v>
      </c>
      <c r="G5" s="10" t="n">
        <f aca="false">SUM(D5:F5)</f>
        <v>53599.59</v>
      </c>
      <c r="H5" s="10" t="n">
        <f aca="false">G5-I5</f>
        <v>48818.13</v>
      </c>
      <c r="I5" s="16" t="n">
        <v>4781.46</v>
      </c>
      <c r="J5" s="16" t="n">
        <v>4781.46</v>
      </c>
      <c r="K5" s="10" t="n">
        <f aca="false">J5-I5</f>
        <v>0</v>
      </c>
      <c r="L5" s="11" t="n">
        <f aca="false">IFERROR(C5/B5,0)</f>
        <v>0.852</v>
      </c>
      <c r="M5" s="10" t="n">
        <f aca="false">IFERROR(D5/C5,0)</f>
        <v>210.504929577465</v>
      </c>
      <c r="N5" s="10" t="n">
        <f aca="false">IFERROR(D5/B5,0)</f>
        <v>179.3502</v>
      </c>
      <c r="O5" s="17" t="str">
        <f aca="false">IF(ABS(K5)&gt;Dashboard!$C$5,"INVESTIGATE","OK")</f>
        <v>OK</v>
      </c>
    </row>
    <row r="6" customFormat="false" ht="15" hidden="false" customHeight="false" outlineLevel="0" collapsed="false">
      <c r="A6" s="18" t="n">
        <v>46267</v>
      </c>
      <c r="B6" s="19" t="n">
        <v>250</v>
      </c>
      <c r="C6" s="19" t="n">
        <v>215</v>
      </c>
      <c r="D6" s="20" t="n">
        <v>41721.27</v>
      </c>
      <c r="E6" s="20" t="n">
        <v>7834.28</v>
      </c>
      <c r="F6" s="20" t="n">
        <v>843.18</v>
      </c>
      <c r="G6" s="21" t="n">
        <f aca="false">SUM(D6:F6)</f>
        <v>50398.73</v>
      </c>
      <c r="H6" s="21" t="n">
        <f aca="false">G6-I6</f>
        <v>46893.07</v>
      </c>
      <c r="I6" s="20" t="n">
        <v>3505.66</v>
      </c>
      <c r="J6" s="20" t="n">
        <v>3505.66</v>
      </c>
      <c r="K6" s="21" t="n">
        <f aca="false">J6-I6</f>
        <v>0</v>
      </c>
      <c r="L6" s="22" t="n">
        <f aca="false">IFERROR(C6/B6,0)</f>
        <v>0.86</v>
      </c>
      <c r="M6" s="21" t="n">
        <f aca="false">IFERROR(D6/C6,0)</f>
        <v>194.052418604651</v>
      </c>
      <c r="N6" s="21" t="n">
        <f aca="false">IFERROR(D6/B6,0)</f>
        <v>166.88508</v>
      </c>
      <c r="O6" s="23" t="str">
        <f aca="false">IF(ABS(K6)&gt;Dashboard!$C$5,"INVESTIGATE","OK")</f>
        <v>OK</v>
      </c>
    </row>
    <row r="7" customFormat="false" ht="15" hidden="false" customHeight="false" outlineLevel="0" collapsed="false">
      <c r="A7" s="14" t="n">
        <v>46268</v>
      </c>
      <c r="B7" s="15" t="n">
        <v>250</v>
      </c>
      <c r="C7" s="15" t="n">
        <v>159</v>
      </c>
      <c r="D7" s="16" t="n">
        <v>32837.4</v>
      </c>
      <c r="E7" s="16" t="n">
        <v>6950.52</v>
      </c>
      <c r="F7" s="16" t="n">
        <v>2000.76</v>
      </c>
      <c r="G7" s="10" t="n">
        <f aca="false">SUM(D7:F7)</f>
        <v>41788.68</v>
      </c>
      <c r="H7" s="10" t="n">
        <f aca="false">G7-I7</f>
        <v>39174.8</v>
      </c>
      <c r="I7" s="16" t="n">
        <v>2613.88</v>
      </c>
      <c r="J7" s="16" t="n">
        <v>2608.88</v>
      </c>
      <c r="K7" s="10" t="n">
        <f aca="false">J7-I7</f>
        <v>-5</v>
      </c>
      <c r="L7" s="11" t="n">
        <f aca="false">IFERROR(C7/B7,0)</f>
        <v>0.636</v>
      </c>
      <c r="M7" s="10" t="n">
        <f aca="false">IFERROR(D7/C7,0)</f>
        <v>206.524528301887</v>
      </c>
      <c r="N7" s="10" t="n">
        <f aca="false">IFERROR(D7/B7,0)</f>
        <v>131.3496</v>
      </c>
      <c r="O7" s="17" t="str">
        <f aca="false">IF(ABS(K7)&gt;Dashboard!$C$5,"INVESTIGATE","OK")</f>
        <v>OK</v>
      </c>
    </row>
    <row r="8" customFormat="false" ht="15" hidden="false" customHeight="false" outlineLevel="0" collapsed="false">
      <c r="A8" s="18" t="n">
        <v>46269</v>
      </c>
      <c r="B8" s="19" t="n">
        <v>250</v>
      </c>
      <c r="C8" s="19" t="n">
        <v>243</v>
      </c>
      <c r="D8" s="20" t="n">
        <v>54642.68</v>
      </c>
      <c r="E8" s="20" t="n">
        <v>12875.14</v>
      </c>
      <c r="F8" s="20" t="n">
        <v>710.02</v>
      </c>
      <c r="G8" s="21" t="n">
        <f aca="false">SUM(D8:F8)</f>
        <v>68227.84</v>
      </c>
      <c r="H8" s="21" t="n">
        <f aca="false">G8-I8</f>
        <v>64561.01</v>
      </c>
      <c r="I8" s="20" t="n">
        <v>3666.83</v>
      </c>
      <c r="J8" s="20" t="n">
        <v>3666.83</v>
      </c>
      <c r="K8" s="21" t="n">
        <f aca="false">J8-I8</f>
        <v>0</v>
      </c>
      <c r="L8" s="22" t="n">
        <f aca="false">IFERROR(C8/B8,0)</f>
        <v>0.972</v>
      </c>
      <c r="M8" s="21" t="n">
        <f aca="false">IFERROR(D8/C8,0)</f>
        <v>224.866995884774</v>
      </c>
      <c r="N8" s="21" t="n">
        <f aca="false">IFERROR(D8/B8,0)</f>
        <v>218.57072</v>
      </c>
      <c r="O8" s="23" t="str">
        <f aca="false">IF(ABS(K8)&gt;Dashboard!$C$5,"INVESTIGATE","OK")</f>
        <v>OK</v>
      </c>
    </row>
    <row r="9" customFormat="false" ht="15" hidden="false" customHeight="false" outlineLevel="0" collapsed="false">
      <c r="A9" s="14" t="n">
        <v>46270</v>
      </c>
      <c r="B9" s="15" t="n">
        <v>250</v>
      </c>
      <c r="C9" s="15" t="n">
        <v>235</v>
      </c>
      <c r="D9" s="16" t="n">
        <v>54727.2</v>
      </c>
      <c r="E9" s="16" t="n">
        <v>7020</v>
      </c>
      <c r="F9" s="16" t="n">
        <v>1769.85</v>
      </c>
      <c r="G9" s="10" t="n">
        <f aca="false">SUM(D9:F9)</f>
        <v>63517.05</v>
      </c>
      <c r="H9" s="10" t="n">
        <f aca="false">G9-I9</f>
        <v>59554.58</v>
      </c>
      <c r="I9" s="16" t="n">
        <v>3962.47</v>
      </c>
      <c r="J9" s="16" t="n">
        <v>3962.47</v>
      </c>
      <c r="K9" s="10" t="n">
        <f aca="false">J9-I9</f>
        <v>0</v>
      </c>
      <c r="L9" s="11" t="n">
        <f aca="false">IFERROR(C9/B9,0)</f>
        <v>0.94</v>
      </c>
      <c r="M9" s="10" t="n">
        <f aca="false">IFERROR(D9/C9,0)</f>
        <v>232.88170212766</v>
      </c>
      <c r="N9" s="10" t="n">
        <f aca="false">IFERROR(D9/B9,0)</f>
        <v>218.9088</v>
      </c>
      <c r="O9" s="17" t="str">
        <f aca="false">IF(ABS(K9)&gt;Dashboard!$C$5,"INVESTIGATE","OK")</f>
        <v>OK</v>
      </c>
    </row>
    <row r="10" customFormat="false" ht="15" hidden="false" customHeight="false" outlineLevel="0" collapsed="false">
      <c r="A10" s="18" t="n">
        <v>46271</v>
      </c>
      <c r="B10" s="19" t="n">
        <v>250</v>
      </c>
      <c r="C10" s="19" t="n">
        <v>233</v>
      </c>
      <c r="D10" s="20" t="n">
        <v>50417.43</v>
      </c>
      <c r="E10" s="20" t="n">
        <v>9586.33</v>
      </c>
      <c r="F10" s="20" t="n">
        <v>1669.84</v>
      </c>
      <c r="G10" s="21" t="n">
        <f aca="false">SUM(D10:F10)</f>
        <v>61673.6</v>
      </c>
      <c r="H10" s="21" t="n">
        <f aca="false">G10-I10</f>
        <v>58534.26</v>
      </c>
      <c r="I10" s="20" t="n">
        <v>3139.34</v>
      </c>
      <c r="J10" s="20" t="n">
        <v>3126.94</v>
      </c>
      <c r="K10" s="21" t="n">
        <f aca="false">J10-I10</f>
        <v>-12.4000000000001</v>
      </c>
      <c r="L10" s="22" t="n">
        <f aca="false">IFERROR(C10/B10,0)</f>
        <v>0.932</v>
      </c>
      <c r="M10" s="21" t="n">
        <f aca="false">IFERROR(D10/C10,0)</f>
        <v>216.383819742489</v>
      </c>
      <c r="N10" s="21" t="n">
        <f aca="false">IFERROR(D10/B10,0)</f>
        <v>201.66972</v>
      </c>
      <c r="O10" s="23" t="str">
        <f aca="false">IF(ABS(K10)&gt;Dashboard!$C$5,"INVESTIGATE","OK")</f>
        <v>OK</v>
      </c>
    </row>
    <row r="11" customFormat="false" ht="15" hidden="false" customHeight="false" outlineLevel="0" collapsed="false">
      <c r="A11" s="14" t="n">
        <v>46272</v>
      </c>
      <c r="B11" s="15" t="n">
        <v>250</v>
      </c>
      <c r="C11" s="15" t="n">
        <v>195</v>
      </c>
      <c r="D11" s="16" t="n">
        <v>36084.7</v>
      </c>
      <c r="E11" s="16" t="n">
        <v>4762.06</v>
      </c>
      <c r="F11" s="16" t="n">
        <v>694.33</v>
      </c>
      <c r="G11" s="10" t="n">
        <f aca="false">SUM(D11:F11)</f>
        <v>41541.09</v>
      </c>
      <c r="H11" s="10" t="n">
        <f aca="false">G11-I11</f>
        <v>38187.51</v>
      </c>
      <c r="I11" s="16" t="n">
        <v>3353.58</v>
      </c>
      <c r="J11" s="16" t="n">
        <v>3353.58</v>
      </c>
      <c r="K11" s="10" t="n">
        <f aca="false">J11-I11</f>
        <v>0</v>
      </c>
      <c r="L11" s="11" t="n">
        <f aca="false">IFERROR(C11/B11,0)</f>
        <v>0.78</v>
      </c>
      <c r="M11" s="10" t="n">
        <f aca="false">IFERROR(D11/C11,0)</f>
        <v>185.049743589744</v>
      </c>
      <c r="N11" s="10" t="n">
        <f aca="false">IFERROR(D11/B11,0)</f>
        <v>144.3388</v>
      </c>
      <c r="O11" s="17" t="str">
        <f aca="false">IF(ABS(K11)&gt;Dashboard!$C$5,"INVESTIGATE","OK")</f>
        <v>OK</v>
      </c>
    </row>
    <row r="12" customFormat="false" ht="15" hidden="false" customHeight="false" outlineLevel="0" collapsed="false">
      <c r="A12" s="18" t="n">
        <v>46273</v>
      </c>
      <c r="B12" s="19" t="n">
        <v>250</v>
      </c>
      <c r="C12" s="19" t="n">
        <v>181</v>
      </c>
      <c r="D12" s="20" t="n">
        <v>34991.7</v>
      </c>
      <c r="E12" s="20" t="n">
        <v>8600.72</v>
      </c>
      <c r="F12" s="20" t="n">
        <v>1394.41</v>
      </c>
      <c r="G12" s="21" t="n">
        <f aca="false">SUM(D12:F12)</f>
        <v>44986.83</v>
      </c>
      <c r="H12" s="21" t="n">
        <f aca="false">G12-I12</f>
        <v>42438.12</v>
      </c>
      <c r="I12" s="20" t="n">
        <v>2548.71</v>
      </c>
      <c r="J12" s="20" t="n">
        <v>2551.21</v>
      </c>
      <c r="K12" s="21" t="n">
        <f aca="false">J12-I12</f>
        <v>2.5</v>
      </c>
      <c r="L12" s="22" t="n">
        <f aca="false">IFERROR(C12/B12,0)</f>
        <v>0.724</v>
      </c>
      <c r="M12" s="21" t="n">
        <f aca="false">IFERROR(D12/C12,0)</f>
        <v>193.324309392265</v>
      </c>
      <c r="N12" s="21" t="n">
        <f aca="false">IFERROR(D12/B12,0)</f>
        <v>139.9668</v>
      </c>
      <c r="O12" s="23" t="str">
        <f aca="false">IF(ABS(K12)&gt;Dashboard!$C$5,"INVESTIGATE","OK")</f>
        <v>OK</v>
      </c>
    </row>
    <row r="13" customFormat="false" ht="15" hidden="false" customHeight="false" outlineLevel="0" collapsed="false">
      <c r="A13" s="14" t="n">
        <v>46274</v>
      </c>
      <c r="B13" s="15" t="n">
        <v>250</v>
      </c>
      <c r="C13" s="15" t="n">
        <v>185</v>
      </c>
      <c r="D13" s="16" t="n">
        <v>38998.34</v>
      </c>
      <c r="E13" s="16" t="n">
        <v>8132.54</v>
      </c>
      <c r="F13" s="16" t="n">
        <v>1982.38</v>
      </c>
      <c r="G13" s="10" t="n">
        <f aca="false">SUM(D13:F13)</f>
        <v>49113.26</v>
      </c>
      <c r="H13" s="10" t="n">
        <f aca="false">G13-I13</f>
        <v>46110.63</v>
      </c>
      <c r="I13" s="16" t="n">
        <v>3002.63</v>
      </c>
      <c r="J13" s="16" t="n">
        <v>2917.63</v>
      </c>
      <c r="K13" s="10" t="n">
        <f aca="false">J13-I13</f>
        <v>-85</v>
      </c>
      <c r="L13" s="11" t="n">
        <f aca="false">IFERROR(C13/B13,0)</f>
        <v>0.74</v>
      </c>
      <c r="M13" s="10" t="n">
        <f aca="false">IFERROR(D13/C13,0)</f>
        <v>210.801837837838</v>
      </c>
      <c r="N13" s="10" t="n">
        <f aca="false">IFERROR(D13/B13,0)</f>
        <v>155.99336</v>
      </c>
      <c r="O13" s="17" t="str">
        <f aca="false">IF(ABS(K13)&gt;Dashboard!$C$5,"INVESTIGATE","OK")</f>
        <v>INVESTIGATE</v>
      </c>
    </row>
    <row r="14" customFormat="false" ht="15" hidden="false" customHeight="false" outlineLevel="0" collapsed="false">
      <c r="A14" s="18" t="n">
        <v>46275</v>
      </c>
      <c r="B14" s="19" t="n">
        <v>250</v>
      </c>
      <c r="C14" s="19" t="n">
        <v>198</v>
      </c>
      <c r="D14" s="20" t="n">
        <v>42268.71</v>
      </c>
      <c r="E14" s="20" t="n">
        <v>4924.42</v>
      </c>
      <c r="F14" s="20" t="n">
        <v>881.95</v>
      </c>
      <c r="G14" s="21" t="n">
        <f aca="false">SUM(D14:F14)</f>
        <v>48075.08</v>
      </c>
      <c r="H14" s="21" t="n">
        <f aca="false">G14-I14</f>
        <v>45225.27</v>
      </c>
      <c r="I14" s="20" t="n">
        <v>2849.81</v>
      </c>
      <c r="J14" s="20" t="n">
        <v>2849.81</v>
      </c>
      <c r="K14" s="21" t="n">
        <f aca="false">J14-I14</f>
        <v>0</v>
      </c>
      <c r="L14" s="22" t="n">
        <f aca="false">IFERROR(C14/B14,0)</f>
        <v>0.792</v>
      </c>
      <c r="M14" s="21" t="n">
        <f aca="false">IFERROR(D14/C14,0)</f>
        <v>213.478333333333</v>
      </c>
      <c r="N14" s="21" t="n">
        <f aca="false">IFERROR(D14/B14,0)</f>
        <v>169.07484</v>
      </c>
      <c r="O14" s="23" t="str">
        <f aca="false">IF(ABS(K14)&gt;Dashboard!$C$5,"INVESTIGATE","OK")</f>
        <v>OK</v>
      </c>
    </row>
    <row r="15" customFormat="false" ht="15" hidden="false" customHeight="false" outlineLevel="0" collapsed="false">
      <c r="A15" s="14" t="n">
        <v>46276</v>
      </c>
      <c r="B15" s="15" t="n">
        <v>250</v>
      </c>
      <c r="C15" s="15" t="n">
        <v>205</v>
      </c>
      <c r="D15" s="16" t="n">
        <v>46001.69</v>
      </c>
      <c r="E15" s="16" t="n">
        <v>11212.99</v>
      </c>
      <c r="F15" s="16" t="n">
        <v>1020.39</v>
      </c>
      <c r="G15" s="10" t="n">
        <f aca="false">SUM(D15:F15)</f>
        <v>58235.07</v>
      </c>
      <c r="H15" s="10" t="n">
        <f aca="false">G15-I15</f>
        <v>55313.78</v>
      </c>
      <c r="I15" s="16" t="n">
        <v>2921.29</v>
      </c>
      <c r="J15" s="16" t="n">
        <v>2923.79</v>
      </c>
      <c r="K15" s="10" t="n">
        <f aca="false">J15-I15</f>
        <v>2.5</v>
      </c>
      <c r="L15" s="11" t="n">
        <f aca="false">IFERROR(C15/B15,0)</f>
        <v>0.82</v>
      </c>
      <c r="M15" s="10" t="n">
        <f aca="false">IFERROR(D15/C15,0)</f>
        <v>224.398487804878</v>
      </c>
      <c r="N15" s="10" t="n">
        <f aca="false">IFERROR(D15/B15,0)</f>
        <v>184.00676</v>
      </c>
      <c r="O15" s="17" t="str">
        <f aca="false">IF(ABS(K15)&gt;Dashboard!$C$5,"INVESTIGATE","OK")</f>
        <v>OK</v>
      </c>
    </row>
    <row r="16" customFormat="false" ht="15" hidden="false" customHeight="false" outlineLevel="0" collapsed="false">
      <c r="A16" s="18" t="n">
        <v>46277</v>
      </c>
      <c r="B16" s="19" t="n">
        <v>250</v>
      </c>
      <c r="C16" s="19" t="n">
        <v>239</v>
      </c>
      <c r="D16" s="20" t="n">
        <v>52525.06</v>
      </c>
      <c r="E16" s="20" t="n">
        <v>11030.73</v>
      </c>
      <c r="F16" s="20" t="n">
        <v>2124.96</v>
      </c>
      <c r="G16" s="21" t="n">
        <f aca="false">SUM(D16:F16)</f>
        <v>65680.75</v>
      </c>
      <c r="H16" s="21" t="n">
        <f aca="false">G16-I16</f>
        <v>60582.63</v>
      </c>
      <c r="I16" s="20" t="n">
        <v>5098.12</v>
      </c>
      <c r="J16" s="20" t="n">
        <v>5098.12</v>
      </c>
      <c r="K16" s="21" t="n">
        <f aca="false">J16-I16</f>
        <v>0</v>
      </c>
      <c r="L16" s="22" t="n">
        <f aca="false">IFERROR(C16/B16,0)</f>
        <v>0.956</v>
      </c>
      <c r="M16" s="21" t="n">
        <f aca="false">IFERROR(D16/C16,0)</f>
        <v>219.770125523013</v>
      </c>
      <c r="N16" s="21" t="n">
        <f aca="false">IFERROR(D16/B16,0)</f>
        <v>210.10024</v>
      </c>
      <c r="O16" s="23" t="str">
        <f aca="false">IF(ABS(K16)&gt;Dashboard!$C$5,"INVESTIGATE","OK")</f>
        <v>OK</v>
      </c>
    </row>
    <row r="17" customFormat="false" ht="15" hidden="false" customHeight="false" outlineLevel="0" collapsed="false">
      <c r="A17" s="14" t="n">
        <v>46278</v>
      </c>
      <c r="B17" s="15" t="n">
        <v>250</v>
      </c>
      <c r="C17" s="15" t="n">
        <v>244</v>
      </c>
      <c r="D17" s="16" t="n">
        <v>56412.47</v>
      </c>
      <c r="E17" s="16" t="n">
        <v>12418.28</v>
      </c>
      <c r="F17" s="16" t="n">
        <v>1330.63</v>
      </c>
      <c r="G17" s="10" t="n">
        <f aca="false">SUM(D17:F17)</f>
        <v>70161.38</v>
      </c>
      <c r="H17" s="10" t="n">
        <f aca="false">G17-I17</f>
        <v>64208.95</v>
      </c>
      <c r="I17" s="16" t="n">
        <v>5952.43</v>
      </c>
      <c r="J17" s="16" t="n">
        <v>5952.43</v>
      </c>
      <c r="K17" s="10" t="n">
        <f aca="false">J17-I17</f>
        <v>0</v>
      </c>
      <c r="L17" s="11" t="n">
        <f aca="false">IFERROR(C17/B17,0)</f>
        <v>0.976</v>
      </c>
      <c r="M17" s="10" t="n">
        <f aca="false">IFERROR(D17/C17,0)</f>
        <v>231.198647540984</v>
      </c>
      <c r="N17" s="10" t="n">
        <f aca="false">IFERROR(D17/B17,0)</f>
        <v>225.64988</v>
      </c>
      <c r="O17" s="17" t="str">
        <f aca="false">IF(ABS(K17)&gt;Dashboard!$C$5,"INVESTIGATE","OK")</f>
        <v>OK</v>
      </c>
    </row>
    <row r="18" customFormat="false" ht="15" hidden="false" customHeight="false" outlineLevel="0" collapsed="false">
      <c r="A18" s="18" t="n">
        <v>46279</v>
      </c>
      <c r="B18" s="19" t="n">
        <v>250</v>
      </c>
      <c r="C18" s="19" t="n">
        <v>200</v>
      </c>
      <c r="D18" s="20" t="n">
        <v>38666.1</v>
      </c>
      <c r="E18" s="20" t="n">
        <v>6091.78</v>
      </c>
      <c r="F18" s="20" t="n">
        <v>1370.44</v>
      </c>
      <c r="G18" s="21" t="n">
        <f aca="false">SUM(D18:F18)</f>
        <v>46128.32</v>
      </c>
      <c r="H18" s="21" t="n">
        <f aca="false">G18-I18</f>
        <v>43083.03</v>
      </c>
      <c r="I18" s="20" t="n">
        <v>3045.29</v>
      </c>
      <c r="J18" s="20" t="n">
        <v>3045.29</v>
      </c>
      <c r="K18" s="21" t="n">
        <f aca="false">J18-I18</f>
        <v>0</v>
      </c>
      <c r="L18" s="22" t="n">
        <f aca="false">IFERROR(C18/B18,0)</f>
        <v>0.8</v>
      </c>
      <c r="M18" s="21" t="n">
        <f aca="false">IFERROR(D18/C18,0)</f>
        <v>193.3305</v>
      </c>
      <c r="N18" s="21" t="n">
        <f aca="false">IFERROR(D18/B18,0)</f>
        <v>154.6644</v>
      </c>
      <c r="O18" s="23" t="str">
        <f aca="false">IF(ABS(K18)&gt;Dashboard!$C$5,"INVESTIGATE","OK")</f>
        <v>OK</v>
      </c>
    </row>
    <row r="19" customFormat="false" ht="15" hidden="false" customHeight="false" outlineLevel="0" collapsed="false">
      <c r="A19" s="14" t="n">
        <v>46280</v>
      </c>
      <c r="B19" s="15" t="n">
        <v>250</v>
      </c>
      <c r="C19" s="15" t="n">
        <v>158</v>
      </c>
      <c r="D19" s="16" t="n">
        <v>33882.79</v>
      </c>
      <c r="E19" s="16" t="n">
        <v>6315.01</v>
      </c>
      <c r="F19" s="16" t="n">
        <v>775.89</v>
      </c>
      <c r="G19" s="10" t="n">
        <f aca="false">SUM(D19:F19)</f>
        <v>40973.69</v>
      </c>
      <c r="H19" s="10" t="n">
        <f aca="false">G19-I19</f>
        <v>37940.44</v>
      </c>
      <c r="I19" s="16" t="n">
        <v>3033.25</v>
      </c>
      <c r="J19" s="16" t="n">
        <v>3033.25</v>
      </c>
      <c r="K19" s="10" t="n">
        <f aca="false">J19-I19</f>
        <v>0</v>
      </c>
      <c r="L19" s="11" t="n">
        <f aca="false">IFERROR(C19/B19,0)</f>
        <v>0.632</v>
      </c>
      <c r="M19" s="10" t="n">
        <f aca="false">IFERROR(D19/C19,0)</f>
        <v>214.448037974684</v>
      </c>
      <c r="N19" s="10" t="n">
        <f aca="false">IFERROR(D19/B19,0)</f>
        <v>135.53116</v>
      </c>
      <c r="O19" s="17" t="str">
        <f aca="false">IF(ABS(K19)&gt;Dashboard!$C$5,"INVESTIGATE","OK")</f>
        <v>OK</v>
      </c>
    </row>
    <row r="20" customFormat="false" ht="15" hidden="false" customHeight="false" outlineLevel="0" collapsed="false">
      <c r="A20" s="18" t="n">
        <v>46281</v>
      </c>
      <c r="B20" s="19" t="n">
        <v>250</v>
      </c>
      <c r="C20" s="19" t="n">
        <v>150</v>
      </c>
      <c r="D20" s="20" t="n">
        <v>29910.63</v>
      </c>
      <c r="E20" s="20" t="n">
        <v>6775.77</v>
      </c>
      <c r="F20" s="20" t="n">
        <v>2118.32</v>
      </c>
      <c r="G20" s="21" t="n">
        <f aca="false">SUM(D20:F20)</f>
        <v>38804.72</v>
      </c>
      <c r="H20" s="21" t="n">
        <f aca="false">G20-I20</f>
        <v>35911.85</v>
      </c>
      <c r="I20" s="20" t="n">
        <v>2892.87</v>
      </c>
      <c r="J20" s="20" t="n">
        <v>2892.87</v>
      </c>
      <c r="K20" s="21" t="n">
        <f aca="false">J20-I20</f>
        <v>0</v>
      </c>
      <c r="L20" s="22" t="n">
        <f aca="false">IFERROR(C20/B20,0)</f>
        <v>0.6</v>
      </c>
      <c r="M20" s="21" t="n">
        <f aca="false">IFERROR(D20/C20,0)</f>
        <v>199.4042</v>
      </c>
      <c r="N20" s="21" t="n">
        <f aca="false">IFERROR(D20/B20,0)</f>
        <v>119.64252</v>
      </c>
      <c r="O20" s="23" t="str">
        <f aca="false">IF(ABS(K20)&gt;Dashboard!$C$5,"INVESTIGATE","OK")</f>
        <v>OK</v>
      </c>
    </row>
    <row r="21" customFormat="false" ht="15" hidden="false" customHeight="false" outlineLevel="0" collapsed="false">
      <c r="A21" s="14" t="n">
        <v>46282</v>
      </c>
      <c r="B21" s="15" t="n">
        <v>250</v>
      </c>
      <c r="C21" s="15" t="n">
        <v>176</v>
      </c>
      <c r="D21" s="16" t="n">
        <v>35394.74</v>
      </c>
      <c r="E21" s="16" t="n">
        <v>4913.04</v>
      </c>
      <c r="F21" s="16" t="n">
        <v>1003.61</v>
      </c>
      <c r="G21" s="10" t="n">
        <f aca="false">SUM(D21:F21)</f>
        <v>41311.39</v>
      </c>
      <c r="H21" s="10" t="n">
        <f aca="false">G21-I21</f>
        <v>38671.77</v>
      </c>
      <c r="I21" s="16" t="n">
        <v>2639.62</v>
      </c>
      <c r="J21" s="16" t="n">
        <v>2634.62</v>
      </c>
      <c r="K21" s="10" t="n">
        <f aca="false">J21-I21</f>
        <v>-5</v>
      </c>
      <c r="L21" s="11" t="n">
        <f aca="false">IFERROR(C21/B21,0)</f>
        <v>0.704</v>
      </c>
      <c r="M21" s="10" t="n">
        <f aca="false">IFERROR(D21/C21,0)</f>
        <v>201.106477272727</v>
      </c>
      <c r="N21" s="10" t="n">
        <f aca="false">IFERROR(D21/B21,0)</f>
        <v>141.57896</v>
      </c>
      <c r="O21" s="17" t="str">
        <f aca="false">IF(ABS(K21)&gt;Dashboard!$C$5,"INVESTIGATE","OK")</f>
        <v>OK</v>
      </c>
    </row>
    <row r="22" customFormat="false" ht="15" hidden="false" customHeight="false" outlineLevel="0" collapsed="false">
      <c r="A22" s="18" t="n">
        <v>46283</v>
      </c>
      <c r="B22" s="19" t="n">
        <v>250</v>
      </c>
      <c r="C22" s="19" t="n">
        <v>235</v>
      </c>
      <c r="D22" s="20" t="n">
        <v>49329.72</v>
      </c>
      <c r="E22" s="20" t="n">
        <v>13291.5</v>
      </c>
      <c r="F22" s="20" t="n">
        <v>2188.96</v>
      </c>
      <c r="G22" s="21" t="n">
        <f aca="false">SUM(D22:F22)</f>
        <v>64810.18</v>
      </c>
      <c r="H22" s="21" t="n">
        <f aca="false">G22-I22</f>
        <v>60361.64</v>
      </c>
      <c r="I22" s="20" t="n">
        <v>4448.54</v>
      </c>
      <c r="J22" s="20" t="n">
        <v>4436.14</v>
      </c>
      <c r="K22" s="21" t="n">
        <f aca="false">J22-I22</f>
        <v>-12.3999999999996</v>
      </c>
      <c r="L22" s="22" t="n">
        <f aca="false">IFERROR(C22/B22,0)</f>
        <v>0.94</v>
      </c>
      <c r="M22" s="21" t="n">
        <f aca="false">IFERROR(D22/C22,0)</f>
        <v>209.91370212766</v>
      </c>
      <c r="N22" s="21" t="n">
        <f aca="false">IFERROR(D22/B22,0)</f>
        <v>197.31888</v>
      </c>
      <c r="O22" s="23" t="str">
        <f aca="false">IF(ABS(K22)&gt;Dashboard!$C$5,"INVESTIGATE","OK")</f>
        <v>OK</v>
      </c>
    </row>
    <row r="23" customFormat="false" ht="15" hidden="false" customHeight="false" outlineLevel="0" collapsed="false">
      <c r="A23" s="14" t="n">
        <v>46284</v>
      </c>
      <c r="B23" s="15" t="n">
        <v>250</v>
      </c>
      <c r="C23" s="15" t="n">
        <v>224</v>
      </c>
      <c r="D23" s="16" t="n">
        <v>46689.53</v>
      </c>
      <c r="E23" s="16" t="n">
        <v>7317.5</v>
      </c>
      <c r="F23" s="16" t="n">
        <v>1148.22</v>
      </c>
      <c r="G23" s="10" t="n">
        <f aca="false">SUM(D23:F23)</f>
        <v>55155.25</v>
      </c>
      <c r="H23" s="10" t="n">
        <f aca="false">G23-I23</f>
        <v>51813.38</v>
      </c>
      <c r="I23" s="16" t="n">
        <v>3341.87</v>
      </c>
      <c r="J23" s="16" t="n">
        <v>3341.87</v>
      </c>
      <c r="K23" s="10" t="n">
        <f aca="false">J23-I23</f>
        <v>0</v>
      </c>
      <c r="L23" s="11" t="n">
        <f aca="false">IFERROR(C23/B23,0)</f>
        <v>0.896</v>
      </c>
      <c r="M23" s="10" t="n">
        <f aca="false">IFERROR(D23/C23,0)</f>
        <v>208.435401785714</v>
      </c>
      <c r="N23" s="10" t="n">
        <f aca="false">IFERROR(D23/B23,0)</f>
        <v>186.75812</v>
      </c>
      <c r="O23" s="17" t="str">
        <f aca="false">IF(ABS(K23)&gt;Dashboard!$C$5,"INVESTIGATE","OK")</f>
        <v>OK</v>
      </c>
    </row>
    <row r="24" customFormat="false" ht="15" hidden="false" customHeight="false" outlineLevel="0" collapsed="false">
      <c r="A24" s="18" t="n">
        <v>46285</v>
      </c>
      <c r="B24" s="19" t="n">
        <v>250</v>
      </c>
      <c r="C24" s="19" t="n">
        <v>238</v>
      </c>
      <c r="D24" s="20" t="n">
        <v>49009.87</v>
      </c>
      <c r="E24" s="20" t="n">
        <v>14107.88</v>
      </c>
      <c r="F24" s="20" t="n">
        <v>1445.21</v>
      </c>
      <c r="G24" s="21" t="n">
        <f aca="false">SUM(D24:F24)</f>
        <v>64562.96</v>
      </c>
      <c r="H24" s="21" t="n">
        <f aca="false">G24-I24</f>
        <v>60956.21</v>
      </c>
      <c r="I24" s="20" t="n">
        <v>3606.75</v>
      </c>
      <c r="J24" s="20" t="n">
        <v>3606.75</v>
      </c>
      <c r="K24" s="21" t="n">
        <f aca="false">J24-I24</f>
        <v>0</v>
      </c>
      <c r="L24" s="22" t="n">
        <f aca="false">IFERROR(C24/B24,0)</f>
        <v>0.952</v>
      </c>
      <c r="M24" s="21" t="n">
        <f aca="false">IFERROR(D24/C24,0)</f>
        <v>205.923823529412</v>
      </c>
      <c r="N24" s="21" t="n">
        <f aca="false">IFERROR(D24/B24,0)</f>
        <v>196.03948</v>
      </c>
      <c r="O24" s="23" t="str">
        <f aca="false">IF(ABS(K24)&gt;Dashboard!$C$5,"INVESTIGATE","OK")</f>
        <v>OK</v>
      </c>
    </row>
    <row r="25" customFormat="false" ht="15" hidden="false" customHeight="false" outlineLevel="0" collapsed="false">
      <c r="A25" s="14" t="n">
        <v>46286</v>
      </c>
      <c r="B25" s="15" t="n">
        <v>250</v>
      </c>
      <c r="C25" s="15" t="n">
        <v>153</v>
      </c>
      <c r="D25" s="16" t="n">
        <v>31562.85</v>
      </c>
      <c r="E25" s="16" t="n">
        <v>5630.83</v>
      </c>
      <c r="F25" s="16" t="n">
        <v>1628.67</v>
      </c>
      <c r="G25" s="10" t="n">
        <f aca="false">SUM(D25:F25)</f>
        <v>38822.35</v>
      </c>
      <c r="H25" s="10" t="n">
        <f aca="false">G25-I25</f>
        <v>36739.9</v>
      </c>
      <c r="I25" s="16" t="n">
        <v>2082.45</v>
      </c>
      <c r="J25" s="16" t="n">
        <v>2082.45</v>
      </c>
      <c r="K25" s="10" t="n">
        <f aca="false">J25-I25</f>
        <v>0</v>
      </c>
      <c r="L25" s="11" t="n">
        <f aca="false">IFERROR(C25/B25,0)</f>
        <v>0.612</v>
      </c>
      <c r="M25" s="10" t="n">
        <f aca="false">IFERROR(D25/C25,0)</f>
        <v>206.293137254902</v>
      </c>
      <c r="N25" s="10" t="n">
        <f aca="false">IFERROR(D25/B25,0)</f>
        <v>126.2514</v>
      </c>
      <c r="O25" s="17" t="str">
        <f aca="false">IF(ABS(K25)&gt;Dashboard!$C$5,"INVESTIGATE","OK")</f>
        <v>OK</v>
      </c>
    </row>
    <row r="26" customFormat="false" ht="15" hidden="false" customHeight="false" outlineLevel="0" collapsed="false">
      <c r="A26" s="18" t="n">
        <v>46287</v>
      </c>
      <c r="B26" s="19" t="n">
        <v>250</v>
      </c>
      <c r="C26" s="19" t="n">
        <v>196</v>
      </c>
      <c r="D26" s="20" t="n">
        <v>41492.67</v>
      </c>
      <c r="E26" s="20" t="n">
        <v>5907.34</v>
      </c>
      <c r="F26" s="20" t="n">
        <v>956.47</v>
      </c>
      <c r="G26" s="21" t="n">
        <f aca="false">SUM(D26:F26)</f>
        <v>48356.48</v>
      </c>
      <c r="H26" s="21" t="n">
        <f aca="false">G26-I26</f>
        <v>44891.12</v>
      </c>
      <c r="I26" s="20" t="n">
        <v>3465.36</v>
      </c>
      <c r="J26" s="20" t="n">
        <v>3380.36</v>
      </c>
      <c r="K26" s="21" t="n">
        <f aca="false">J26-I26</f>
        <v>-85</v>
      </c>
      <c r="L26" s="22" t="n">
        <f aca="false">IFERROR(C26/B26,0)</f>
        <v>0.784</v>
      </c>
      <c r="M26" s="21" t="n">
        <f aca="false">IFERROR(D26/C26,0)</f>
        <v>211.697295918367</v>
      </c>
      <c r="N26" s="21" t="n">
        <f aca="false">IFERROR(D26/B26,0)</f>
        <v>165.97068</v>
      </c>
      <c r="O26" s="23" t="str">
        <f aca="false">IF(ABS(K26)&gt;Dashboard!$C$5,"INVESTIGATE","OK")</f>
        <v>INVESTIGATE</v>
      </c>
    </row>
    <row r="27" customFormat="false" ht="15" hidden="false" customHeight="false" outlineLevel="0" collapsed="false">
      <c r="A27" s="14" t="n">
        <v>46288</v>
      </c>
      <c r="B27" s="15" t="n">
        <v>250</v>
      </c>
      <c r="C27" s="15" t="n">
        <v>178</v>
      </c>
      <c r="D27" s="16" t="n">
        <v>35791.57</v>
      </c>
      <c r="E27" s="16" t="n">
        <v>7984.32</v>
      </c>
      <c r="F27" s="16" t="n">
        <v>1813.32</v>
      </c>
      <c r="G27" s="10" t="n">
        <f aca="false">SUM(D27:F27)</f>
        <v>45589.21</v>
      </c>
      <c r="H27" s="10" t="n">
        <f aca="false">G27-I27</f>
        <v>42953.89</v>
      </c>
      <c r="I27" s="16" t="n">
        <v>2635.32</v>
      </c>
      <c r="J27" s="16" t="n">
        <v>2635.32</v>
      </c>
      <c r="K27" s="10" t="n">
        <f aca="false">J27-I27</f>
        <v>0</v>
      </c>
      <c r="L27" s="11" t="n">
        <f aca="false">IFERROR(C27/B27,0)</f>
        <v>0.712</v>
      </c>
      <c r="M27" s="10" t="n">
        <f aca="false">IFERROR(D27/C27,0)</f>
        <v>201.076235955056</v>
      </c>
      <c r="N27" s="10" t="n">
        <f aca="false">IFERROR(D27/B27,0)</f>
        <v>143.16628</v>
      </c>
      <c r="O27" s="17" t="str">
        <f aca="false">IF(ABS(K27)&gt;Dashboard!$C$5,"INVESTIGATE","OK")</f>
        <v>OK</v>
      </c>
    </row>
    <row r="28" customFormat="false" ht="15" hidden="false" customHeight="false" outlineLevel="0" collapsed="false">
      <c r="A28" s="18" t="n">
        <v>46289</v>
      </c>
      <c r="B28" s="19" t="n">
        <v>250</v>
      </c>
      <c r="C28" s="19" t="n">
        <v>201</v>
      </c>
      <c r="D28" s="20" t="n">
        <v>41332.72</v>
      </c>
      <c r="E28" s="20" t="n">
        <v>5288.35</v>
      </c>
      <c r="F28" s="20" t="n">
        <v>1428.22</v>
      </c>
      <c r="G28" s="21" t="n">
        <f aca="false">SUM(D28:F28)</f>
        <v>48049.29</v>
      </c>
      <c r="H28" s="21" t="n">
        <f aca="false">G28-I28</f>
        <v>44963.44</v>
      </c>
      <c r="I28" s="20" t="n">
        <v>3085.85</v>
      </c>
      <c r="J28" s="20" t="n">
        <v>3085.85</v>
      </c>
      <c r="K28" s="21" t="n">
        <f aca="false">J28-I28</f>
        <v>0</v>
      </c>
      <c r="L28" s="22" t="n">
        <f aca="false">IFERROR(C28/B28,0)</f>
        <v>0.804</v>
      </c>
      <c r="M28" s="21" t="n">
        <f aca="false">IFERROR(D28/C28,0)</f>
        <v>205.635422885572</v>
      </c>
      <c r="N28" s="21" t="n">
        <f aca="false">IFERROR(D28/B28,0)</f>
        <v>165.33088</v>
      </c>
      <c r="O28" s="23" t="str">
        <f aca="false">IF(ABS(K28)&gt;Dashboard!$C$5,"INVESTIGATE","OK")</f>
        <v>OK</v>
      </c>
    </row>
    <row r="29" customFormat="false" ht="15" hidden="false" customHeight="false" outlineLevel="0" collapsed="false">
      <c r="A29" s="14" t="n">
        <v>46290</v>
      </c>
      <c r="B29" s="15" t="n">
        <v>250</v>
      </c>
      <c r="C29" s="15" t="n">
        <v>206</v>
      </c>
      <c r="D29" s="16" t="n">
        <v>48740.54</v>
      </c>
      <c r="E29" s="16" t="n">
        <v>10277.92</v>
      </c>
      <c r="F29" s="16" t="n">
        <v>909.83</v>
      </c>
      <c r="G29" s="10" t="n">
        <f aca="false">SUM(D29:F29)</f>
        <v>59928.29</v>
      </c>
      <c r="H29" s="10" t="n">
        <f aca="false">G29-I29</f>
        <v>55481.28</v>
      </c>
      <c r="I29" s="16" t="n">
        <v>4447.01</v>
      </c>
      <c r="J29" s="16" t="n">
        <v>4442.01</v>
      </c>
      <c r="K29" s="10" t="n">
        <f aca="false">J29-I29</f>
        <v>-5</v>
      </c>
      <c r="L29" s="11" t="n">
        <f aca="false">IFERROR(C29/B29,0)</f>
        <v>0.824</v>
      </c>
      <c r="M29" s="10" t="n">
        <f aca="false">IFERROR(D29/C29,0)</f>
        <v>236.604563106796</v>
      </c>
      <c r="N29" s="10" t="n">
        <f aca="false">IFERROR(D29/B29,0)</f>
        <v>194.96216</v>
      </c>
      <c r="O29" s="17" t="str">
        <f aca="false">IF(ABS(K29)&gt;Dashboard!$C$5,"INVESTIGATE","OK")</f>
        <v>OK</v>
      </c>
    </row>
    <row r="30" customFormat="false" ht="15" hidden="false" customHeight="false" outlineLevel="0" collapsed="false">
      <c r="A30" s="18" t="n">
        <v>46291</v>
      </c>
      <c r="B30" s="19" t="n">
        <v>250</v>
      </c>
      <c r="C30" s="19" t="n">
        <v>233</v>
      </c>
      <c r="D30" s="20" t="n">
        <v>55300.83</v>
      </c>
      <c r="E30" s="20" t="n">
        <v>12285.02</v>
      </c>
      <c r="F30" s="20" t="n">
        <v>1159.23</v>
      </c>
      <c r="G30" s="21" t="n">
        <f aca="false">SUM(D30:F30)</f>
        <v>68745.08</v>
      </c>
      <c r="H30" s="21" t="n">
        <f aca="false">G30-I30</f>
        <v>62628.1</v>
      </c>
      <c r="I30" s="20" t="n">
        <v>6116.98</v>
      </c>
      <c r="J30" s="20" t="n">
        <v>6116.98</v>
      </c>
      <c r="K30" s="21" t="n">
        <f aca="false">J30-I30</f>
        <v>0</v>
      </c>
      <c r="L30" s="22" t="n">
        <f aca="false">IFERROR(C30/B30,0)</f>
        <v>0.932</v>
      </c>
      <c r="M30" s="21" t="n">
        <f aca="false">IFERROR(D30/C30,0)</f>
        <v>237.342618025751</v>
      </c>
      <c r="N30" s="21" t="n">
        <f aca="false">IFERROR(D30/B30,0)</f>
        <v>221.20332</v>
      </c>
      <c r="O30" s="23" t="str">
        <f aca="false">IF(ABS(K30)&gt;Dashboard!$C$5,"INVESTIGATE","OK")</f>
        <v>OK</v>
      </c>
    </row>
    <row r="31" customFormat="false" ht="15" hidden="false" customHeight="false" outlineLevel="0" collapsed="false">
      <c r="A31" s="14" t="n">
        <v>46292</v>
      </c>
      <c r="B31" s="15" t="n">
        <v>250</v>
      </c>
      <c r="C31" s="15" t="n">
        <v>219</v>
      </c>
      <c r="D31" s="16" t="n">
        <v>45789.9</v>
      </c>
      <c r="E31" s="16" t="n">
        <v>10260.64</v>
      </c>
      <c r="F31" s="16" t="n">
        <v>1140.38</v>
      </c>
      <c r="G31" s="10" t="n">
        <f aca="false">SUM(D31:F31)</f>
        <v>57190.92</v>
      </c>
      <c r="H31" s="10" t="n">
        <f aca="false">G31-I31</f>
        <v>53227.24</v>
      </c>
      <c r="I31" s="16" t="n">
        <v>3963.68</v>
      </c>
      <c r="J31" s="16" t="n">
        <v>3963.68</v>
      </c>
      <c r="K31" s="10" t="n">
        <f aca="false">J31-I31</f>
        <v>0</v>
      </c>
      <c r="L31" s="11" t="n">
        <f aca="false">IFERROR(C31/B31,0)</f>
        <v>0.876</v>
      </c>
      <c r="M31" s="10" t="n">
        <f aca="false">IFERROR(D31/C31,0)</f>
        <v>209.086301369863</v>
      </c>
      <c r="N31" s="10" t="n">
        <f aca="false">IFERROR(D31/B31,0)</f>
        <v>183.1596</v>
      </c>
      <c r="O31" s="17" t="str">
        <f aca="false">IF(ABS(K31)&gt;Dashboard!$C$5,"INVESTIGATE","OK")</f>
        <v>OK</v>
      </c>
    </row>
    <row r="32" customFormat="false" ht="15" hidden="false" customHeight="false" outlineLevel="0" collapsed="false">
      <c r="A32" s="18" t="n">
        <v>46293</v>
      </c>
      <c r="B32" s="19" t="n">
        <v>250</v>
      </c>
      <c r="C32" s="19" t="n">
        <v>150</v>
      </c>
      <c r="D32" s="20" t="n">
        <v>29439.16</v>
      </c>
      <c r="E32" s="20" t="n">
        <v>7334.29</v>
      </c>
      <c r="F32" s="20" t="n">
        <v>1879.43</v>
      </c>
      <c r="G32" s="21" t="n">
        <f aca="false">SUM(D32:F32)</f>
        <v>38652.88</v>
      </c>
      <c r="H32" s="21" t="n">
        <f aca="false">G32-I32</f>
        <v>36589.16</v>
      </c>
      <c r="I32" s="20" t="n">
        <v>2063.72</v>
      </c>
      <c r="J32" s="20" t="n">
        <v>2063.72</v>
      </c>
      <c r="K32" s="21" t="n">
        <f aca="false">J32-I32</f>
        <v>0</v>
      </c>
      <c r="L32" s="22" t="n">
        <f aca="false">IFERROR(C32/B32,0)</f>
        <v>0.6</v>
      </c>
      <c r="M32" s="21" t="n">
        <f aca="false">IFERROR(D32/C32,0)</f>
        <v>196.261066666667</v>
      </c>
      <c r="N32" s="21" t="n">
        <f aca="false">IFERROR(D32/B32,0)</f>
        <v>117.75664</v>
      </c>
      <c r="O32" s="23" t="str">
        <f aca="false">IF(ABS(K32)&gt;Dashboard!$C$5,"INVESTIGATE","OK")</f>
        <v>OK</v>
      </c>
    </row>
    <row r="33" customFormat="false" ht="15" hidden="false" customHeight="false" outlineLevel="0" collapsed="false">
      <c r="A33" s="14" t="n">
        <v>46294</v>
      </c>
      <c r="B33" s="15" t="n">
        <v>250</v>
      </c>
      <c r="C33" s="15" t="n">
        <v>199</v>
      </c>
      <c r="D33" s="16" t="n">
        <v>41225.42</v>
      </c>
      <c r="E33" s="16" t="n">
        <v>7800.67</v>
      </c>
      <c r="F33" s="16" t="n">
        <v>1364.85</v>
      </c>
      <c r="G33" s="10" t="n">
        <f aca="false">SUM(D33:F33)</f>
        <v>50390.94</v>
      </c>
      <c r="H33" s="10" t="n">
        <f aca="false">G33-I33</f>
        <v>47511.56</v>
      </c>
      <c r="I33" s="16" t="n">
        <v>2879.38</v>
      </c>
      <c r="J33" s="16" t="n">
        <v>2874.38</v>
      </c>
      <c r="K33" s="10" t="n">
        <f aca="false">J33-I33</f>
        <v>-5</v>
      </c>
      <c r="L33" s="11" t="n">
        <f aca="false">IFERROR(C33/B33,0)</f>
        <v>0.796</v>
      </c>
      <c r="M33" s="10" t="n">
        <f aca="false">IFERROR(D33/C33,0)</f>
        <v>207.162914572864</v>
      </c>
      <c r="N33" s="10" t="n">
        <f aca="false">IFERROR(D33/B33,0)</f>
        <v>164.90168</v>
      </c>
      <c r="O33" s="17" t="str">
        <f aca="false">IF(ABS(K33)&gt;Dashboard!$C$5,"INVESTIGATE","OK")</f>
        <v>OK</v>
      </c>
    </row>
    <row r="34" customFormat="false" ht="15" hidden="false" customHeight="false" outlineLevel="0" collapsed="false">
      <c r="A34" s="18" t="n">
        <v>46295</v>
      </c>
      <c r="B34" s="19" t="n">
        <v>250</v>
      </c>
      <c r="C34" s="19" t="n">
        <v>161</v>
      </c>
      <c r="D34" s="20" t="n">
        <v>33460.57</v>
      </c>
      <c r="E34" s="20" t="n">
        <v>8863.95</v>
      </c>
      <c r="F34" s="20" t="n">
        <v>1233.34</v>
      </c>
      <c r="G34" s="21" t="n">
        <f aca="false">SUM(D34:F34)</f>
        <v>43557.86</v>
      </c>
      <c r="H34" s="21" t="n">
        <f aca="false">G34-I34</f>
        <v>40680.62</v>
      </c>
      <c r="I34" s="20" t="n">
        <v>2877.24</v>
      </c>
      <c r="J34" s="20" t="n">
        <v>2877.24</v>
      </c>
      <c r="K34" s="21" t="n">
        <f aca="false">J34-I34</f>
        <v>0</v>
      </c>
      <c r="L34" s="22" t="n">
        <f aca="false">IFERROR(C34/B34,0)</f>
        <v>0.644</v>
      </c>
      <c r="M34" s="21" t="n">
        <f aca="false">IFERROR(D34/C34,0)</f>
        <v>207.829627329193</v>
      </c>
      <c r="N34" s="21" t="n">
        <f aca="false">IFERROR(D34/B34,0)</f>
        <v>133.84228</v>
      </c>
      <c r="O34" s="23" t="str">
        <f aca="false">IF(ABS(K34)&gt;Dashboard!$C$5,"INVESTIGATE","OK")</f>
        <v>OK</v>
      </c>
    </row>
    <row r="35" customFormat="false" ht="15" hidden="false" customHeight="false" outlineLevel="0" collapsed="false">
      <c r="A35" s="12" t="s">
        <v>34</v>
      </c>
      <c r="B35" s="12" t="n">
        <f aca="false">SUM(B5:B34)</f>
        <v>7500</v>
      </c>
      <c r="C35" s="24" t="n">
        <f aca="false">SUM(C5:C34)</f>
        <v>6022</v>
      </c>
      <c r="D35" s="25" t="n">
        <f aca="false">SUM(D5:D34)</f>
        <v>1273485.81</v>
      </c>
      <c r="E35" s="25" t="n">
        <f aca="false">SUM(E5:E34)</f>
        <v>253495.16</v>
      </c>
      <c r="F35" s="25" t="n">
        <f aca="false">SUM(F5:F34)</f>
        <v>41047.79</v>
      </c>
      <c r="G35" s="25" t="n">
        <f aca="false">SUM(G5:G34)</f>
        <v>1568028.76</v>
      </c>
      <c r="H35" s="25" t="n">
        <f aca="false">SUM(H5:H34)</f>
        <v>1464007.37</v>
      </c>
      <c r="I35" s="25" t="n">
        <f aca="false">SUM(I5:I34)</f>
        <v>104021.39</v>
      </c>
      <c r="J35" s="25" t="n">
        <f aca="false">SUM(J5:J34)</f>
        <v>103811.59</v>
      </c>
      <c r="K35" s="25" t="n">
        <f aca="false">SUM(K5:K34)</f>
        <v>-209.8</v>
      </c>
    </row>
  </sheetData>
  <conditionalFormatting sqref="O5:O34">
    <cfRule type="cellIs" priority="2" operator="equal" aboveAverage="0" equalAverage="0" bottom="0" percent="0" rank="0" text="" dxfId="0">
      <formula>"INVESTIGATE"</formula>
    </cfRule>
  </conditionalFormatting>
  <conditionalFormatting sqref="K5:K34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2026-09-29T09:16:46Z</dcterms:created>
  <dc:creator>openpyxl</dc:creator>
  <dc:description/>
  <dc:language>en-US</dc:language>
  <cp:lastModifiedBy/>
  <dcterms:modified xsi:type="dcterms:W3CDTF">2026-09-29T05:16:55Z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