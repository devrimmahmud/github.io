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</sheets>
  <definedNames>
    <definedName function="false" hidden="false" localSheetId="0" name="_xlnm.Print_Area" vbProcedure="false">'Task Tracker'!$A$1:$L$38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<sst xmlns="http://schemas.openxmlformats.org/spreadsheetml/2006/main" count="87" uniqueCount="62">
  <si>
    <t xml:space="preserve">Task &amp; Progress Tracker</t>
  </si>
  <si>
    <t xml:space="preserve">TEMPLATE  |  Created by Tahsin Devrim Mahmud  |  Contains no real or confidential data</t>
  </si>
  <si>
    <t xml:space="preserve">PROGRESS</t>
  </si>
  <si>
    <t xml:space="preserve">HOW TO USE THIS TRACKER</t>
  </si>
  <si>
    <t xml:space="preserve">Tasks completed</t>
  </si>
  <si>
    <t xml:space="preserve">ADDING TASKS:</t>
  </si>
  <si>
    <t xml:space="preserve">Progress bar</t>
  </si>
  <si>
    <t xml:space="preserve">  Type each task in the Task column, one per row.</t>
  </si>
  <si>
    <t xml:space="preserve">  Pick a Category and Priority from the drop-down lists.</t>
  </si>
  <si>
    <t xml:space="preserve">Done ☐/☑</t>
  </si>
  <si>
    <t xml:space="preserve">Task</t>
  </si>
  <si>
    <t xml:space="preserve">Category</t>
  </si>
  <si>
    <t xml:space="preserve">Priority</t>
  </si>
  <si>
    <t xml:space="preserve">Due Date</t>
  </si>
  <si>
    <t xml:space="preserve">Status</t>
  </si>
  <si>
    <t xml:space="preserve">Notes</t>
  </si>
  <si>
    <t xml:space="preserve">  Add a Due Date if the task has a deadline (optional).</t>
  </si>
  <si>
    <t xml:space="preserve">☑</t>
  </si>
  <si>
    <t xml:space="preserve">Reconcile daily cash deposits</t>
  </si>
  <si>
    <t xml:space="preserve">Daily</t>
  </si>
  <si>
    <t xml:space="preserve">High</t>
  </si>
  <si>
    <t xml:space="preserve">CHECKING TASKS OFF:</t>
  </si>
  <si>
    <t xml:space="preserve">Review daily revenue report for discrepancies</t>
  </si>
  <si>
    <t xml:space="preserve">  Click the Done cell and choose ☑ from the drop-down.</t>
  </si>
  <si>
    <t xml:space="preserve">Follow up on outstanding vendor invoices</t>
  </si>
  <si>
    <t xml:space="preserve">Follow-Up</t>
  </si>
  <si>
    <t xml:space="preserve">Medium</t>
  </si>
  <si>
    <t xml:space="preserve">  The row turns green, the task is crossed out, and Status says Done.</t>
  </si>
  <si>
    <t xml:space="preserve">☐</t>
  </si>
  <si>
    <t xml:space="preserve">Prepare month-end account reconciliations</t>
  </si>
  <si>
    <t xml:space="preserve">Month-End</t>
  </si>
  <si>
    <t xml:space="preserve">  Using Microsoft 365? Select column A and choose Insert &gt; Checkbox</t>
  </si>
  <si>
    <t xml:space="preserve">Investigate unapplied payments in suspense</t>
  </si>
  <si>
    <t xml:space="preserve">Reconciliation</t>
  </si>
  <si>
    <t xml:space="preserve">  to use real tick boxes instead. The tracker counts both.</t>
  </si>
  <si>
    <t xml:space="preserve">Update client records across all systems</t>
  </si>
  <si>
    <t xml:space="preserve">Admin</t>
  </si>
  <si>
    <t xml:space="preserve">PROGRESS BAR:</t>
  </si>
  <si>
    <t xml:space="preserve">Prepare audit support documentation</t>
  </si>
  <si>
    <t xml:space="preserve">Reporting</t>
  </si>
  <si>
    <t xml:space="preserve">  Tasks completed = checked tasks out of all tasks entered.</t>
  </si>
  <si>
    <t xml:space="preserve">File and index supporting documents</t>
  </si>
  <si>
    <t xml:space="preserve">Low</t>
  </si>
  <si>
    <t xml:space="preserve">  The percentage and both bars at the top update automatically.</t>
  </si>
  <si>
    <t xml:space="preserve">Review aging report and flag past-due items</t>
  </si>
  <si>
    <t xml:space="preserve">  The table on the right shows progress for each category.</t>
  </si>
  <si>
    <t xml:space="preserve">Complete an Excel skills course module</t>
  </si>
  <si>
    <t xml:space="preserve">Personal Development</t>
  </si>
  <si>
    <t xml:space="preserve">STATUS FLAGS:</t>
  </si>
  <si>
    <t xml:space="preserve">  Overdue (red) = past its due date and not checked off.</t>
  </si>
  <si>
    <t xml:space="preserve">  Due Today (amber) = due today and not checked off.</t>
  </si>
  <si>
    <t xml:space="preserve">STARTING FRESH:</t>
  </si>
  <si>
    <t xml:space="preserve">  Clear columns A to E and G. Never delete the Status column.</t>
  </si>
  <si>
    <t xml:space="preserve">COLOUR LEGEND</t>
  </si>
  <si>
    <t xml:space="preserve">  Pink column header  =  you type in this column</t>
  </si>
  <si>
    <t xml:space="preserve">  Navy column header  =  calculates automatically (do not overwrite)</t>
  </si>
  <si>
    <t xml:space="preserve">  Yellow cell  =  a setting you choose</t>
  </si>
  <si>
    <t xml:space="preserve">  Green / amber / red highlights  =  status flags</t>
  </si>
  <si>
    <t xml:space="preserve">PROGRESS BY CATEGORY</t>
  </si>
  <si>
    <t xml:space="preserve">Tasks</t>
  </si>
  <si>
    <t xml:space="preserve">Done</t>
  </si>
  <si>
    <t xml:space="preserve">Progress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</si>
</sst>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yyyy\-mm\-dd"/>
    <numFmt numFmtId="167" formatCode="#,##0;\(#,##0\);\-"/>
    <numFmt numFmtId="168" formatCode="0%;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11821"/>
      <name val="Arial"/>
      <family val="0"/>
      <charset val="1"/>
    </font>
    <font>
      <i val="true"/>
      <sz val="9"/>
      <color rgb="FFE31B6D"/>
      <name val="Arial"/>
      <family val="0"/>
      <charset val="1"/>
    </font>
    <font>
      <b val="true"/>
      <sz val="10"/>
      <color rgb="FFE31B6D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11821"/>
      <name val="Arial"/>
      <family val="0"/>
      <charset val="1"/>
    </font>
    <font>
      <b val="true"/>
      <sz val="16"/>
      <color rgb="FFE31B6D"/>
      <name val="Arial"/>
      <family val="0"/>
      <charset val="1"/>
    </font>
    <font>
      <sz val="14"/>
      <color rgb="FFE31B6D"/>
      <name val="Consolas"/>
      <family val="0"/>
      <charset val="1"/>
    </font>
    <font>
      <b val="true"/>
      <sz val="10"/>
      <color rgb="FF111821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3"/>
      <color rgb="FFE31B6D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31B6D"/>
        <bgColor rgb="FFB71C1C"/>
      </patternFill>
    </fill>
    <fill>
      <patternFill patternType="solid">
        <fgColor rgb="FFFDF0F5"/>
        <bgColor rgb="FFF6F7F9"/>
      </patternFill>
    </fill>
    <fill>
      <patternFill patternType="solid">
        <fgColor rgb="FF111821"/>
        <bgColor rgb="FF000000"/>
      </patternFill>
    </fill>
    <fill>
      <patternFill patternType="solid">
        <fgColor rgb="FFF6F7F9"/>
        <bgColor rgb="FFFDF0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 diagonalUp="false" diagonalDown="false">
      <left/>
      <right/>
      <top/>
      <bottom style="thick">
        <color rgb="FFE31B6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strike val="1"/>
        <color rgb="FF4E7A51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FCDD2"/>
        </patternFill>
      </fill>
    </dxf>
    <dxf>
      <fill>
        <patternFill>
          <bgColor rgb="FFFFE0B2"/>
        </patternFill>
      </fill>
    </dxf>
    <dxf>
      <font>
        <name val="Arial"/>
        <charset val="1"/>
        <family val="0"/>
        <b val="1"/>
        <color rgb="FFE31B6D"/>
      </font>
    </dxf>
  </dxfs>
  <colors>
    <indexedColors>
      <rgbColor rgb="FF000000"/>
      <rgbColor rgb="FFFFFFFF"/>
      <rgbColor rgb="FFE31B6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6F7F9"/>
      <rgbColor rgb="FFFDF0F5"/>
      <rgbColor rgb="FF660066"/>
      <rgbColor rgb="FFFF8080"/>
      <rgbColor rgb="FF0066CC"/>
      <rgbColor rgb="FFD5DA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7A51"/>
      <rgbColor rgb="FF111821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3" min="3" style="0" width="21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32"/>
    <col collapsed="false" customWidth="true" hidden="false" outlineLevel="0" max="8" min="8" style="0" width="3"/>
    <col collapsed="false" customWidth="true" hidden="false" outlineLevel="0" max="9" min="9" style="0" width="74"/>
    <col collapsed="false" customWidth="true" hidden="false" outlineLevel="0" max="12" min="10" style="0" width="12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I4" s="4" t="s">
        <v>3</v>
      </c>
    </row>
    <row r="5" customFormat="false" ht="25.5" hidden="false" customHeight="true" outlineLevel="0" collapsed="false">
      <c r="A5" s="5" t="s">
        <v>4</v>
      </c>
      <c r="C5" s="6" t="str">
        <f aca="false">(COUNTIFS($A$9:$A$58,"☑",$B$9:$B$58,"&lt;&gt;")+COUNTIFS($A$9:$A$58,TRUE(),$B$9:$B$58,"&lt;&gt;"))&amp;" of "&amp;COUNTA($B$9:$B$58)</f>
        <v>4 of 10</v>
      </c>
      <c r="D5" s="7" t="n">
        <f aca="false">IFERROR((COUNTIFS($A$9:$A$58,"☑",$B$9:$B$58,"&lt;&gt;")+COUNTIFS($A$9:$A$58,TRUE(),$B$9:$B$58,"&lt;&gt;"))/COUNTA($B$9:$B$58),0)</f>
        <v>0.4</v>
      </c>
      <c r="E5" s="8" t="str">
        <f aca="false">REPT("█",ROUND(D5*25,0))&amp;REPT("░",25-ROUND(D5*25,0))</f>
        <v>██████████░░░░░░░░░░░░░░░</v>
      </c>
      <c r="F5" s="8"/>
      <c r="G5" s="8"/>
      <c r="I5" s="9" t="s">
        <v>5</v>
      </c>
    </row>
    <row r="6" customFormat="false" ht="21.75" hidden="false" customHeight="true" outlineLevel="0" collapsed="false">
      <c r="A6" s="5" t="s">
        <v>6</v>
      </c>
      <c r="C6" s="10" t="n">
        <f aca="false">D5</f>
        <v>0.4</v>
      </c>
      <c r="D6" s="10"/>
      <c r="E6" s="10"/>
      <c r="F6" s="10"/>
      <c r="G6" s="10"/>
      <c r="I6" s="11" t="s">
        <v>7</v>
      </c>
    </row>
    <row r="7" customFormat="false" ht="15" hidden="false" customHeight="false" outlineLevel="0" collapsed="false">
      <c r="I7" s="11" t="s">
        <v>8</v>
      </c>
    </row>
    <row r="8" customFormat="false" ht="33.75" hidden="false" customHeight="true" outlineLevel="0" collapsed="false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  <c r="F8" s="13" t="s">
        <v>14</v>
      </c>
      <c r="G8" s="12" t="s">
        <v>15</v>
      </c>
      <c r="I8" s="11" t="s">
        <v>16</v>
      </c>
    </row>
    <row r="9" customFormat="false" ht="16.15" hidden="false" customHeight="false" outlineLevel="0" collapsed="false">
      <c r="A9" s="14" t="s">
        <v>17</v>
      </c>
      <c r="B9" s="15" t="s">
        <v>18</v>
      </c>
      <c r="C9" s="15" t="s">
        <v>19</v>
      </c>
      <c r="D9" s="15" t="s">
        <v>20</v>
      </c>
      <c r="E9" s="16"/>
      <c r="F9" s="17" t="str">
        <f aca="true">IF(B9="","",IF(OR(A9="☑",A9=TRUE()),"Done",IF(E9="","Open",IF(E9&lt;TODAY(),"Overdue",IF(E9=TODAY(),"Due Today","Open")))))</f>
        <v>Done</v>
      </c>
      <c r="G9" s="15"/>
      <c r="I9" s="9" t="s">
        <v>21</v>
      </c>
    </row>
    <row r="10" customFormat="false" ht="16.15" hidden="false" customHeight="false" outlineLevel="0" collapsed="false">
      <c r="A10" s="18" t="s">
        <v>17</v>
      </c>
      <c r="B10" s="19" t="s">
        <v>22</v>
      </c>
      <c r="C10" s="19" t="s">
        <v>19</v>
      </c>
      <c r="D10" s="19" t="s">
        <v>20</v>
      </c>
      <c r="E10" s="20"/>
      <c r="F10" s="21" t="str">
        <f aca="true">IF(B10="","",IF(OR(A10="☑",A10=TRUE()),"Done",IF(E10="","Open",IF(E10&lt;TODAY(),"Overdue",IF(E10=TODAY(),"Due Today","Open")))))</f>
        <v>Done</v>
      </c>
      <c r="G10" s="19"/>
      <c r="I10" s="11" t="s">
        <v>23</v>
      </c>
    </row>
    <row r="11" customFormat="false" ht="16.15" hidden="false" customHeight="false" outlineLevel="0" collapsed="false">
      <c r="A11" s="14" t="s">
        <v>17</v>
      </c>
      <c r="B11" s="15" t="s">
        <v>24</v>
      </c>
      <c r="C11" s="15" t="s">
        <v>25</v>
      </c>
      <c r="D11" s="15" t="s">
        <v>26</v>
      </c>
      <c r="E11" s="16"/>
      <c r="F11" s="17" t="str">
        <f aca="true">IF(B11="","",IF(OR(A11="☑",A11=TRUE()),"Done",IF(E11="","Open",IF(E11&lt;TODAY(),"Overdue",IF(E11=TODAY(),"Due Today","Open")))))</f>
        <v>Done</v>
      </c>
      <c r="G11" s="15"/>
      <c r="I11" s="11" t="s">
        <v>27</v>
      </c>
    </row>
    <row r="12" customFormat="false" ht="16.15" hidden="false" customHeight="false" outlineLevel="0" collapsed="false">
      <c r="A12" s="18" t="s">
        <v>28</v>
      </c>
      <c r="B12" s="19" t="s">
        <v>29</v>
      </c>
      <c r="C12" s="19" t="s">
        <v>30</v>
      </c>
      <c r="D12" s="19" t="s">
        <v>20</v>
      </c>
      <c r="E12" s="20"/>
      <c r="F12" s="21" t="str">
        <f aca="true">IF(B12="","",IF(OR(A12="☑",A12=TRUE()),"Done",IF(E12="","Open",IF(E12&lt;TODAY(),"Overdue",IF(E12=TODAY(),"Due Today","Open")))))</f>
        <v>Open</v>
      </c>
      <c r="G12" s="19"/>
      <c r="I12" s="11" t="s">
        <v>31</v>
      </c>
    </row>
    <row r="13" customFormat="false" ht="16.15" hidden="false" customHeight="false" outlineLevel="0" collapsed="false">
      <c r="A13" s="14" t="s">
        <v>28</v>
      </c>
      <c r="B13" s="15" t="s">
        <v>32</v>
      </c>
      <c r="C13" s="15" t="s">
        <v>33</v>
      </c>
      <c r="D13" s="15" t="s">
        <v>20</v>
      </c>
      <c r="E13" s="16"/>
      <c r="F13" s="17" t="str">
        <f aca="true">IF(B13="","",IF(OR(A13="☑",A13=TRUE()),"Done",IF(E13="","Open",IF(E13&lt;TODAY(),"Overdue",IF(E13=TODAY(),"Due Today","Open")))))</f>
        <v>Open</v>
      </c>
      <c r="G13" s="15"/>
      <c r="I13" s="11" t="s">
        <v>34</v>
      </c>
    </row>
    <row r="14" customFormat="false" ht="16.15" hidden="false" customHeight="false" outlineLevel="0" collapsed="false">
      <c r="A14" s="18" t="s">
        <v>28</v>
      </c>
      <c r="B14" s="19" t="s">
        <v>35</v>
      </c>
      <c r="C14" s="19" t="s">
        <v>36</v>
      </c>
      <c r="D14" s="19" t="s">
        <v>26</v>
      </c>
      <c r="E14" s="20"/>
      <c r="F14" s="21" t="str">
        <f aca="true">IF(B14="","",IF(OR(A14="☑",A14=TRUE()),"Done",IF(E14="","Open",IF(E14&lt;TODAY(),"Overdue",IF(E14=TODAY(),"Due Today","Open")))))</f>
        <v>Open</v>
      </c>
      <c r="G14" s="19"/>
      <c r="I14" s="9" t="s">
        <v>37</v>
      </c>
    </row>
    <row r="15" customFormat="false" ht="16.15" hidden="false" customHeight="false" outlineLevel="0" collapsed="false">
      <c r="A15" s="14" t="s">
        <v>28</v>
      </c>
      <c r="B15" s="15" t="s">
        <v>38</v>
      </c>
      <c r="C15" s="15" t="s">
        <v>39</v>
      </c>
      <c r="D15" s="15" t="s">
        <v>26</v>
      </c>
      <c r="E15" s="16"/>
      <c r="F15" s="17" t="str">
        <f aca="true">IF(B15="","",IF(OR(A15="☑",A15=TRUE()),"Done",IF(E15="","Open",IF(E15&lt;TODAY(),"Overdue",IF(E15=TODAY(),"Due Today","Open")))))</f>
        <v>Open</v>
      </c>
      <c r="G15" s="15"/>
      <c r="I15" s="11" t="s">
        <v>40</v>
      </c>
    </row>
    <row r="16" customFormat="false" ht="16.15" hidden="false" customHeight="false" outlineLevel="0" collapsed="false">
      <c r="A16" s="18" t="s">
        <v>17</v>
      </c>
      <c r="B16" s="19" t="s">
        <v>41</v>
      </c>
      <c r="C16" s="19" t="s">
        <v>36</v>
      </c>
      <c r="D16" s="19" t="s">
        <v>42</v>
      </c>
      <c r="E16" s="20"/>
      <c r="F16" s="21" t="str">
        <f aca="true">IF(B16="","",IF(OR(A16="☑",A16=TRUE()),"Done",IF(E16="","Open",IF(E16&lt;TODAY(),"Overdue",IF(E16=TODAY(),"Due Today","Open")))))</f>
        <v>Done</v>
      </c>
      <c r="G16" s="19"/>
      <c r="I16" s="11" t="s">
        <v>43</v>
      </c>
    </row>
    <row r="17" customFormat="false" ht="16.15" hidden="false" customHeight="false" outlineLevel="0" collapsed="false">
      <c r="A17" s="14" t="s">
        <v>28</v>
      </c>
      <c r="B17" s="15" t="s">
        <v>44</v>
      </c>
      <c r="C17" s="15" t="s">
        <v>25</v>
      </c>
      <c r="D17" s="15" t="s">
        <v>26</v>
      </c>
      <c r="E17" s="16"/>
      <c r="F17" s="17" t="str">
        <f aca="true">IF(B17="","",IF(OR(A17="☑",A17=TRUE()),"Done",IF(E17="","Open",IF(E17&lt;TODAY(),"Overdue",IF(E17=TODAY(),"Due Today","Open")))))</f>
        <v>Open</v>
      </c>
      <c r="G17" s="15"/>
      <c r="I17" s="11" t="s">
        <v>45</v>
      </c>
    </row>
    <row r="18" customFormat="false" ht="16.15" hidden="false" customHeight="false" outlineLevel="0" collapsed="false">
      <c r="A18" s="18" t="s">
        <v>28</v>
      </c>
      <c r="B18" s="19" t="s">
        <v>46</v>
      </c>
      <c r="C18" s="19" t="s">
        <v>47</v>
      </c>
      <c r="D18" s="19" t="s">
        <v>42</v>
      </c>
      <c r="E18" s="20"/>
      <c r="F18" s="21" t="str">
        <f aca="true">IF(B18="","",IF(OR(A18="☑",A18=TRUE()),"Done",IF(E18="","Open",IF(E18&lt;TODAY(),"Overdue",IF(E18=TODAY(),"Due Today","Open")))))</f>
        <v>Open</v>
      </c>
      <c r="G18" s="19"/>
      <c r="I18" s="9" t="s">
        <v>48</v>
      </c>
    </row>
    <row r="19" customFormat="false" ht="16.15" hidden="false" customHeight="false" outlineLevel="0" collapsed="false">
      <c r="A19" s="14"/>
      <c r="B19" s="15"/>
      <c r="C19" s="15"/>
      <c r="D19" s="15"/>
      <c r="E19" s="16"/>
      <c r="F19" s="17" t="str">
        <f aca="true">IF(B19="","",IF(OR(A19="☑",A19=TRUE()),"Done",IF(E19="","Open",IF(E19&lt;TODAY(),"Overdue",IF(E19=TODAY(),"Due Today","Open")))))</f>
        <v/>
      </c>
      <c r="G19" s="15"/>
      <c r="I19" s="11" t="s">
        <v>49</v>
      </c>
    </row>
    <row r="20" customFormat="false" ht="16.15" hidden="false" customHeight="false" outlineLevel="0" collapsed="false">
      <c r="A20" s="18"/>
      <c r="B20" s="19"/>
      <c r="C20" s="19"/>
      <c r="D20" s="19"/>
      <c r="E20" s="20"/>
      <c r="F20" s="21" t="str">
        <f aca="true">IF(B20="","",IF(OR(A20="☑",A20=TRUE()),"Done",IF(E20="","Open",IF(E20&lt;TODAY(),"Overdue",IF(E20=TODAY(),"Due Today","Open")))))</f>
        <v/>
      </c>
      <c r="G20" s="19"/>
      <c r="I20" s="11" t="s">
        <v>50</v>
      </c>
    </row>
    <row r="21" customFormat="false" ht="16.15" hidden="false" customHeight="false" outlineLevel="0" collapsed="false">
      <c r="A21" s="14"/>
      <c r="B21" s="15"/>
      <c r="C21" s="15"/>
      <c r="D21" s="15"/>
      <c r="E21" s="16"/>
      <c r="F21" s="17" t="str">
        <f aca="true">IF(B21="","",IF(OR(A21="☑",A21=TRUE()),"Done",IF(E21="","Open",IF(E21&lt;TODAY(),"Overdue",IF(E21=TODAY(),"Due Today","Open")))))</f>
        <v/>
      </c>
      <c r="G21" s="15"/>
      <c r="I21" s="9" t="s">
        <v>51</v>
      </c>
    </row>
    <row r="22" customFormat="false" ht="16.15" hidden="false" customHeight="false" outlineLevel="0" collapsed="false">
      <c r="A22" s="18"/>
      <c r="B22" s="19"/>
      <c r="C22" s="19"/>
      <c r="D22" s="19"/>
      <c r="E22" s="20"/>
      <c r="F22" s="21" t="str">
        <f aca="true">IF(B22="","",IF(OR(A22="☑",A22=TRUE()),"Done",IF(E22="","Open",IF(E22&lt;TODAY(),"Overdue",IF(E22=TODAY(),"Due Today","Open")))))</f>
        <v/>
      </c>
      <c r="G22" s="19"/>
      <c r="I22" s="11" t="s">
        <v>52</v>
      </c>
    </row>
    <row r="23" customFormat="false" ht="16.15" hidden="false" customHeight="false" outlineLevel="0" collapsed="false">
      <c r="A23" s="14"/>
      <c r="B23" s="15"/>
      <c r="C23" s="15"/>
      <c r="D23" s="15"/>
      <c r="E23" s="16"/>
      <c r="F23" s="17" t="str">
        <f aca="true">IF(B23="","",IF(OR(A23="☑",A23=TRUE()),"Done",IF(E23="","Open",IF(E23&lt;TODAY(),"Overdue",IF(E23=TODAY(),"Due Today","Open")))))</f>
        <v/>
      </c>
      <c r="G23" s="15"/>
      <c r="I23" s="11"/>
    </row>
    <row r="24" customFormat="false" ht="16.15" hidden="false" customHeight="false" outlineLevel="0" collapsed="false">
      <c r="A24" s="18"/>
      <c r="B24" s="19"/>
      <c r="C24" s="19"/>
      <c r="D24" s="19"/>
      <c r="E24" s="20"/>
      <c r="F24" s="21" t="str">
        <f aca="true">IF(B24="","",IF(OR(A24="☑",A24=TRUE()),"Done",IF(E24="","Open",IF(E24&lt;TODAY(),"Overdue",IF(E24=TODAY(),"Due Today","Open")))))</f>
        <v/>
      </c>
      <c r="G24" s="19"/>
      <c r="I24" s="9" t="s">
        <v>53</v>
      </c>
    </row>
    <row r="25" customFormat="false" ht="16.15" hidden="false" customHeight="false" outlineLevel="0" collapsed="false">
      <c r="A25" s="14"/>
      <c r="B25" s="15"/>
      <c r="C25" s="15"/>
      <c r="D25" s="15"/>
      <c r="E25" s="16"/>
      <c r="F25" s="17" t="str">
        <f aca="true">IF(B25="","",IF(OR(A25="☑",A25=TRUE()),"Done",IF(E25="","Open",IF(E25&lt;TODAY(),"Overdue",IF(E25=TODAY(),"Due Today","Open")))))</f>
        <v/>
      </c>
      <c r="G25" s="15"/>
      <c r="I25" s="11" t="s">
        <v>54</v>
      </c>
    </row>
    <row r="26" customFormat="false" ht="16.15" hidden="false" customHeight="false" outlineLevel="0" collapsed="false">
      <c r="A26" s="18"/>
      <c r="B26" s="19"/>
      <c r="C26" s="19"/>
      <c r="D26" s="19"/>
      <c r="E26" s="20"/>
      <c r="F26" s="21" t="str">
        <f aca="true">IF(B26="","",IF(OR(A26="☑",A26=TRUE()),"Done",IF(E26="","Open",IF(E26&lt;TODAY(),"Overdue",IF(E26=TODAY(),"Due Today","Open")))))</f>
        <v/>
      </c>
      <c r="G26" s="19"/>
      <c r="I26" s="11" t="s">
        <v>55</v>
      </c>
    </row>
    <row r="27" customFormat="false" ht="16.15" hidden="false" customHeight="false" outlineLevel="0" collapsed="false">
      <c r="A27" s="14"/>
      <c r="B27" s="15"/>
      <c r="C27" s="15"/>
      <c r="D27" s="15"/>
      <c r="E27" s="16"/>
      <c r="F27" s="17" t="str">
        <f aca="true">IF(B27="","",IF(OR(A27="☑",A27=TRUE()),"Done",IF(E27="","Open",IF(E27&lt;TODAY(),"Overdue",IF(E27=TODAY(),"Due Today","Open")))))</f>
        <v/>
      </c>
      <c r="G27" s="15"/>
      <c r="I27" s="11" t="s">
        <v>56</v>
      </c>
    </row>
    <row r="28" customFormat="false" ht="16.15" hidden="false" customHeight="false" outlineLevel="0" collapsed="false">
      <c r="A28" s="18"/>
      <c r="B28" s="19"/>
      <c r="C28" s="19"/>
      <c r="D28" s="19"/>
      <c r="E28" s="20"/>
      <c r="F28" s="21" t="str">
        <f aca="true">IF(B28="","",IF(OR(A28="☑",A28=TRUE()),"Done",IF(E28="","Open",IF(E28&lt;TODAY(),"Overdue",IF(E28=TODAY(),"Due Today","Open")))))</f>
        <v/>
      </c>
      <c r="G28" s="19"/>
      <c r="I28" s="22" t="s">
        <v>57</v>
      </c>
    </row>
    <row r="29" customFormat="false" ht="16.15" hidden="false" customHeight="false" outlineLevel="0" collapsed="false">
      <c r="A29" s="14"/>
      <c r="B29" s="15"/>
      <c r="C29" s="15"/>
      <c r="D29" s="15"/>
      <c r="E29" s="16"/>
      <c r="F29" s="17" t="str">
        <f aca="true">IF(B29="","",IF(OR(A29="☑",A29=TRUE()),"Done",IF(E29="","Open",IF(E29&lt;TODAY(),"Overdue",IF(E29=TODAY(),"Due Today","Open")))))</f>
        <v/>
      </c>
      <c r="G29" s="15"/>
    </row>
    <row r="30" customFormat="false" ht="16.15" hidden="false" customHeight="false" outlineLevel="0" collapsed="false">
      <c r="A30" s="18"/>
      <c r="B30" s="19"/>
      <c r="C30" s="19"/>
      <c r="D30" s="19"/>
      <c r="E30" s="20"/>
      <c r="F30" s="21" t="str">
        <f aca="true">IF(B30="","",IF(OR(A30="☑",A30=TRUE()),"Done",IF(E30="","Open",IF(E30&lt;TODAY(),"Overdue",IF(E30=TODAY(),"Due Today","Open")))))</f>
        <v/>
      </c>
      <c r="G30" s="19"/>
      <c r="I30" s="23" t="s">
        <v>58</v>
      </c>
      <c r="J30" s="24" t="s">
        <v>59</v>
      </c>
      <c r="K30" s="24" t="s">
        <v>60</v>
      </c>
      <c r="L30" s="24" t="s">
        <v>61</v>
      </c>
    </row>
    <row r="31" customFormat="false" ht="16.15" hidden="false" customHeight="false" outlineLevel="0" collapsed="false">
      <c r="A31" s="14"/>
      <c r="B31" s="15"/>
      <c r="C31" s="15"/>
      <c r="D31" s="15"/>
      <c r="E31" s="16"/>
      <c r="F31" s="17" t="str">
        <f aca="true">IF(B31="","",IF(OR(A31="☑",A31=TRUE()),"Done",IF(E31="","Open",IF(E31&lt;TODAY(),"Overdue",IF(E31=TODAY(),"Due Today","Open")))))</f>
        <v/>
      </c>
      <c r="G31" s="15"/>
      <c r="I31" s="15" t="s">
        <v>19</v>
      </c>
      <c r="J31" s="25" t="n">
        <f aca="false">COUNTIF($C$9:$C$58,I31)</f>
        <v>2</v>
      </c>
      <c r="K31" s="25" t="n">
        <f aca="false">COUNTIFS($C$9:$C$58,I31,$A$9:$A$58,"☑")+COUNTIFS($C$9:$C$58,I31,$A$9:$A$58,TRUE())</f>
        <v>2</v>
      </c>
      <c r="L31" s="26" t="n">
        <f aca="false">IFERROR(K31/J31,0)</f>
        <v>1</v>
      </c>
    </row>
    <row r="32" customFormat="false" ht="16.15" hidden="false" customHeight="false" outlineLevel="0" collapsed="false">
      <c r="A32" s="18"/>
      <c r="B32" s="19"/>
      <c r="C32" s="19"/>
      <c r="D32" s="19"/>
      <c r="E32" s="20"/>
      <c r="F32" s="21" t="str">
        <f aca="true">IF(B32="","",IF(OR(A32="☑",A32=TRUE()),"Done",IF(E32="","Open",IF(E32&lt;TODAY(),"Overdue",IF(E32=TODAY(),"Due Today","Open")))))</f>
        <v/>
      </c>
      <c r="G32" s="19"/>
      <c r="I32" s="15" t="s">
        <v>30</v>
      </c>
      <c r="J32" s="25" t="n">
        <f aca="false">COUNTIF($C$9:$C$58,I32)</f>
        <v>1</v>
      </c>
      <c r="K32" s="25" t="n">
        <f aca="false">COUNTIFS($C$9:$C$58,I32,$A$9:$A$58,"☑")+COUNTIFS($C$9:$C$58,I32,$A$9:$A$58,TRUE())</f>
        <v>0</v>
      </c>
      <c r="L32" s="26" t="n">
        <f aca="false">IFERROR(K32/J32,0)</f>
        <v>0</v>
      </c>
    </row>
    <row r="33" customFormat="false" ht="16.15" hidden="false" customHeight="false" outlineLevel="0" collapsed="false">
      <c r="A33" s="14"/>
      <c r="B33" s="15"/>
      <c r="C33" s="15"/>
      <c r="D33" s="15"/>
      <c r="E33" s="16"/>
      <c r="F33" s="17" t="str">
        <f aca="true">IF(B33="","",IF(OR(A33="☑",A33=TRUE()),"Done",IF(E33="","Open",IF(E33&lt;TODAY(),"Overdue",IF(E33=TODAY(),"Due Today","Open")))))</f>
        <v/>
      </c>
      <c r="G33" s="15"/>
      <c r="I33" s="15" t="s">
        <v>33</v>
      </c>
      <c r="J33" s="25" t="n">
        <f aca="false">COUNTIF($C$9:$C$58,I33)</f>
        <v>1</v>
      </c>
      <c r="K33" s="25" t="n">
        <f aca="false">COUNTIFS($C$9:$C$58,I33,$A$9:$A$58,"☑")+COUNTIFS($C$9:$C$58,I33,$A$9:$A$58,TRUE())</f>
        <v>0</v>
      </c>
      <c r="L33" s="26" t="n">
        <f aca="false">IFERROR(K33/J33,0)</f>
        <v>0</v>
      </c>
    </row>
    <row r="34" customFormat="false" ht="16.15" hidden="false" customHeight="false" outlineLevel="0" collapsed="false">
      <c r="A34" s="18"/>
      <c r="B34" s="19"/>
      <c r="C34" s="19"/>
      <c r="D34" s="19"/>
      <c r="E34" s="20"/>
      <c r="F34" s="21" t="str">
        <f aca="true">IF(B34="","",IF(OR(A34="☑",A34=TRUE()),"Done",IF(E34="","Open",IF(E34&lt;TODAY(),"Overdue",IF(E34=TODAY(),"Due Today","Open")))))</f>
        <v/>
      </c>
      <c r="G34" s="19"/>
      <c r="I34" s="15" t="s">
        <v>39</v>
      </c>
      <c r="J34" s="25" t="n">
        <f aca="false">COUNTIF($C$9:$C$58,I34)</f>
        <v>1</v>
      </c>
      <c r="K34" s="25" t="n">
        <f aca="false">COUNTIFS($C$9:$C$58,I34,$A$9:$A$58,"☑")+COUNTIFS($C$9:$C$58,I34,$A$9:$A$58,TRUE())</f>
        <v>0</v>
      </c>
      <c r="L34" s="26" t="n">
        <f aca="false">IFERROR(K34/J34,0)</f>
        <v>0</v>
      </c>
    </row>
    <row r="35" customFormat="false" ht="16.15" hidden="false" customHeight="false" outlineLevel="0" collapsed="false">
      <c r="A35" s="14"/>
      <c r="B35" s="15"/>
      <c r="C35" s="15"/>
      <c r="D35" s="15"/>
      <c r="E35" s="16"/>
      <c r="F35" s="17" t="str">
        <f aca="true">IF(B35="","",IF(OR(A35="☑",A35=TRUE()),"Done",IF(E35="","Open",IF(E35&lt;TODAY(),"Overdue",IF(E35=TODAY(),"Due Today","Open")))))</f>
        <v/>
      </c>
      <c r="G35" s="15"/>
      <c r="I35" s="15" t="s">
        <v>25</v>
      </c>
      <c r="J35" s="25" t="n">
        <f aca="false">COUNTIF($C$9:$C$58,I35)</f>
        <v>2</v>
      </c>
      <c r="K35" s="25" t="n">
        <f aca="false">COUNTIFS($C$9:$C$58,I35,$A$9:$A$58,"☑")+COUNTIFS($C$9:$C$58,I35,$A$9:$A$58,TRUE())</f>
        <v>1</v>
      </c>
      <c r="L35" s="26" t="n">
        <f aca="false">IFERROR(K35/J35,0)</f>
        <v>0.5</v>
      </c>
    </row>
    <row r="36" customFormat="false" ht="16.15" hidden="false" customHeight="false" outlineLevel="0" collapsed="false">
      <c r="A36" s="18"/>
      <c r="B36" s="19"/>
      <c r="C36" s="19"/>
      <c r="D36" s="19"/>
      <c r="E36" s="20"/>
      <c r="F36" s="21" t="str">
        <f aca="true">IF(B36="","",IF(OR(A36="☑",A36=TRUE()),"Done",IF(E36="","Open",IF(E36&lt;TODAY(),"Overdue",IF(E36=TODAY(),"Due Today","Open")))))</f>
        <v/>
      </c>
      <c r="G36" s="19"/>
      <c r="I36" s="15" t="s">
        <v>36</v>
      </c>
      <c r="J36" s="25" t="n">
        <f aca="false">COUNTIF($C$9:$C$58,I36)</f>
        <v>2</v>
      </c>
      <c r="K36" s="25" t="n">
        <f aca="false">COUNTIFS($C$9:$C$58,I36,$A$9:$A$58,"☑")+COUNTIFS($C$9:$C$58,I36,$A$9:$A$58,TRUE())</f>
        <v>1</v>
      </c>
      <c r="L36" s="26" t="n">
        <f aca="false">IFERROR(K36/J36,0)</f>
        <v>0.5</v>
      </c>
    </row>
    <row r="37" customFormat="false" ht="16.15" hidden="false" customHeight="false" outlineLevel="0" collapsed="false">
      <c r="A37" s="14"/>
      <c r="B37" s="15"/>
      <c r="C37" s="15"/>
      <c r="D37" s="15"/>
      <c r="E37" s="16"/>
      <c r="F37" s="17" t="str">
        <f aca="true">IF(B37="","",IF(OR(A37="☑",A37=TRUE()),"Done",IF(E37="","Open",IF(E37&lt;TODAY(),"Overdue",IF(E37=TODAY(),"Due Today","Open")))))</f>
        <v/>
      </c>
      <c r="G37" s="15"/>
      <c r="I37" s="15" t="s">
        <v>47</v>
      </c>
      <c r="J37" s="25" t="n">
        <f aca="false">COUNTIF($C$9:$C$58,I37)</f>
        <v>1</v>
      </c>
      <c r="K37" s="25" t="n">
        <f aca="false">COUNTIFS($C$9:$C$58,I37,$A$9:$A$58,"☑")+COUNTIFS($C$9:$C$58,I37,$A$9:$A$58,TRUE())</f>
        <v>0</v>
      </c>
      <c r="L37" s="26" t="n">
        <f aca="false">IFERROR(K37/J37,0)</f>
        <v>0</v>
      </c>
    </row>
    <row r="38" customFormat="false" ht="16.15" hidden="false" customHeight="false" outlineLevel="0" collapsed="false">
      <c r="A38" s="18"/>
      <c r="B38" s="19"/>
      <c r="C38" s="19"/>
      <c r="D38" s="19"/>
      <c r="E38" s="20"/>
      <c r="F38" s="21" t="str">
        <f aca="true">IF(B38="","",IF(OR(A38="☑",A38=TRUE()),"Done",IF(E38="","Open",IF(E38&lt;TODAY(),"Overdue",IF(E38=TODAY(),"Due Today","Open")))))</f>
        <v/>
      </c>
      <c r="G38" s="19"/>
    </row>
    <row r="39" customFormat="false" ht="16.15" hidden="false" customHeight="false" outlineLevel="0" collapsed="false">
      <c r="A39" s="14"/>
      <c r="B39" s="15"/>
      <c r="C39" s="15"/>
      <c r="D39" s="15"/>
      <c r="E39" s="16"/>
      <c r="F39" s="17" t="str">
        <f aca="true">IF(B39="","",IF(OR(A39="☑",A39=TRUE()),"Done",IF(E39="","Open",IF(E39&lt;TODAY(),"Overdue",IF(E39=TODAY(),"Due Today","Open")))))</f>
        <v/>
      </c>
      <c r="G39" s="15"/>
    </row>
    <row r="40" customFormat="false" ht="16.15" hidden="false" customHeight="false" outlineLevel="0" collapsed="false">
      <c r="A40" s="18"/>
      <c r="B40" s="19"/>
      <c r="C40" s="19"/>
      <c r="D40" s="19"/>
      <c r="E40" s="20"/>
      <c r="F40" s="21" t="str">
        <f aca="true">IF(B40="","",IF(OR(A40="☑",A40=TRUE()),"Done",IF(E40="","Open",IF(E40&lt;TODAY(),"Overdue",IF(E40=TODAY(),"Due Today","Open")))))</f>
        <v/>
      </c>
      <c r="G40" s="19"/>
    </row>
    <row r="41" customFormat="false" ht="16.15" hidden="false" customHeight="false" outlineLevel="0" collapsed="false">
      <c r="A41" s="14"/>
      <c r="B41" s="15"/>
      <c r="C41" s="15"/>
      <c r="D41" s="15"/>
      <c r="E41" s="16"/>
      <c r="F41" s="17" t="str">
        <f aca="true">IF(B41="","",IF(OR(A41="☑",A41=TRUE()),"Done",IF(E41="","Open",IF(E41&lt;TODAY(),"Overdue",IF(E41=TODAY(),"Due Today","Open")))))</f>
        <v/>
      </c>
      <c r="G41" s="15"/>
    </row>
    <row r="42" customFormat="false" ht="16.15" hidden="false" customHeight="false" outlineLevel="0" collapsed="false">
      <c r="A42" s="18"/>
      <c r="B42" s="19"/>
      <c r="C42" s="19"/>
      <c r="D42" s="19"/>
      <c r="E42" s="20"/>
      <c r="F42" s="21" t="str">
        <f aca="true">IF(B42="","",IF(OR(A42="☑",A42=TRUE()),"Done",IF(E42="","Open",IF(E42&lt;TODAY(),"Overdue",IF(E42=TODAY(),"Due Today","Open")))))</f>
        <v/>
      </c>
      <c r="G42" s="19"/>
    </row>
    <row r="43" customFormat="false" ht="16.15" hidden="false" customHeight="false" outlineLevel="0" collapsed="false">
      <c r="A43" s="14"/>
      <c r="B43" s="15"/>
      <c r="C43" s="15"/>
      <c r="D43" s="15"/>
      <c r="E43" s="16"/>
      <c r="F43" s="17" t="str">
        <f aca="true">IF(B43="","",IF(OR(A43="☑",A43=TRUE()),"Done",IF(E43="","Open",IF(E43&lt;TODAY(),"Overdue",IF(E43=TODAY(),"Due Today","Open")))))</f>
        <v/>
      </c>
      <c r="G43" s="15"/>
    </row>
    <row r="44" customFormat="false" ht="16.15" hidden="false" customHeight="false" outlineLevel="0" collapsed="false">
      <c r="A44" s="18"/>
      <c r="B44" s="19"/>
      <c r="C44" s="19"/>
      <c r="D44" s="19"/>
      <c r="E44" s="20"/>
      <c r="F44" s="21" t="str">
        <f aca="true">IF(B44="","",IF(OR(A44="☑",A44=TRUE()),"Done",IF(E44="","Open",IF(E44&lt;TODAY(),"Overdue",IF(E44=TODAY(),"Due Today","Open")))))</f>
        <v/>
      </c>
      <c r="G44" s="19"/>
    </row>
    <row r="45" customFormat="false" ht="16.15" hidden="false" customHeight="false" outlineLevel="0" collapsed="false">
      <c r="A45" s="14"/>
      <c r="B45" s="15"/>
      <c r="C45" s="15"/>
      <c r="D45" s="15"/>
      <c r="E45" s="16"/>
      <c r="F45" s="17" t="str">
        <f aca="true">IF(B45="","",IF(OR(A45="☑",A45=TRUE()),"Done",IF(E45="","Open",IF(E45&lt;TODAY(),"Overdue",IF(E45=TODAY(),"Due Today","Open")))))</f>
        <v/>
      </c>
      <c r="G45" s="15"/>
    </row>
    <row r="46" customFormat="false" ht="16.15" hidden="false" customHeight="false" outlineLevel="0" collapsed="false">
      <c r="A46" s="18"/>
      <c r="B46" s="19"/>
      <c r="C46" s="19"/>
      <c r="D46" s="19"/>
      <c r="E46" s="20"/>
      <c r="F46" s="21" t="str">
        <f aca="true">IF(B46="","",IF(OR(A46="☑",A46=TRUE()),"Done",IF(E46="","Open",IF(E46&lt;TODAY(),"Overdue",IF(E46=TODAY(),"Due Today","Open")))))</f>
        <v/>
      </c>
      <c r="G46" s="19"/>
    </row>
    <row r="47" customFormat="false" ht="16.15" hidden="false" customHeight="false" outlineLevel="0" collapsed="false">
      <c r="A47" s="14"/>
      <c r="B47" s="15"/>
      <c r="C47" s="15"/>
      <c r="D47" s="15"/>
      <c r="E47" s="16"/>
      <c r="F47" s="17" t="str">
        <f aca="true">IF(B47="","",IF(OR(A47="☑",A47=TRUE()),"Done",IF(E47="","Open",IF(E47&lt;TODAY(),"Overdue",IF(E47=TODAY(),"Due Today","Open")))))</f>
        <v/>
      </c>
      <c r="G47" s="15"/>
    </row>
    <row r="48" customFormat="false" ht="16.15" hidden="false" customHeight="false" outlineLevel="0" collapsed="false">
      <c r="A48" s="18"/>
      <c r="B48" s="19"/>
      <c r="C48" s="19"/>
      <c r="D48" s="19"/>
      <c r="E48" s="20"/>
      <c r="F48" s="21" t="str">
        <f aca="true">IF(B48="","",IF(OR(A48="☑",A48=TRUE()),"Done",IF(E48="","Open",IF(E48&lt;TODAY(),"Overdue",IF(E48=TODAY(),"Due Today","Open")))))</f>
        <v/>
      </c>
      <c r="G48" s="19"/>
    </row>
    <row r="49" customFormat="false" ht="16.15" hidden="false" customHeight="false" outlineLevel="0" collapsed="false">
      <c r="A49" s="14"/>
      <c r="B49" s="15"/>
      <c r="C49" s="15"/>
      <c r="D49" s="15"/>
      <c r="E49" s="16"/>
      <c r="F49" s="17" t="str">
        <f aca="true">IF(B49="","",IF(OR(A49="☑",A49=TRUE()),"Done",IF(E49="","Open",IF(E49&lt;TODAY(),"Overdue",IF(E49=TODAY(),"Due Today","Open")))))</f>
        <v/>
      </c>
      <c r="G49" s="15"/>
    </row>
    <row r="50" customFormat="false" ht="16.15" hidden="false" customHeight="false" outlineLevel="0" collapsed="false">
      <c r="A50" s="18"/>
      <c r="B50" s="19"/>
      <c r="C50" s="19"/>
      <c r="D50" s="19"/>
      <c r="E50" s="20"/>
      <c r="F50" s="21" t="str">
        <f aca="true">IF(B50="","",IF(OR(A50="☑",A50=TRUE()),"Done",IF(E50="","Open",IF(E50&lt;TODAY(),"Overdue",IF(E50=TODAY(),"Due Today","Open")))))</f>
        <v/>
      </c>
      <c r="G50" s="19"/>
    </row>
    <row r="51" customFormat="false" ht="16.15" hidden="false" customHeight="false" outlineLevel="0" collapsed="false">
      <c r="A51" s="14"/>
      <c r="B51" s="15"/>
      <c r="C51" s="15"/>
      <c r="D51" s="15"/>
      <c r="E51" s="16"/>
      <c r="F51" s="17" t="str">
        <f aca="true">IF(B51="","",IF(OR(A51="☑",A51=TRUE()),"Done",IF(E51="","Open",IF(E51&lt;TODAY(),"Overdue",IF(E51=TODAY(),"Due Today","Open")))))</f>
        <v/>
      </c>
      <c r="G51" s="15"/>
    </row>
    <row r="52" customFormat="false" ht="16.15" hidden="false" customHeight="false" outlineLevel="0" collapsed="false">
      <c r="A52" s="18"/>
      <c r="B52" s="19"/>
      <c r="C52" s="19"/>
      <c r="D52" s="19"/>
      <c r="E52" s="20"/>
      <c r="F52" s="21" t="str">
        <f aca="true">IF(B52="","",IF(OR(A52="☑",A52=TRUE()),"Done",IF(E52="","Open",IF(E52&lt;TODAY(),"Overdue",IF(E52=TODAY(),"Due Today","Open")))))</f>
        <v/>
      </c>
      <c r="G52" s="19"/>
    </row>
    <row r="53" customFormat="false" ht="16.15" hidden="false" customHeight="false" outlineLevel="0" collapsed="false">
      <c r="A53" s="14"/>
      <c r="B53" s="15"/>
      <c r="C53" s="15"/>
      <c r="D53" s="15"/>
      <c r="E53" s="16"/>
      <c r="F53" s="17" t="str">
        <f aca="true">IF(B53="","",IF(OR(A53="☑",A53=TRUE()),"Done",IF(E53="","Open",IF(E53&lt;TODAY(),"Overdue",IF(E53=TODAY(),"Due Today","Open")))))</f>
        <v/>
      </c>
      <c r="G53" s="15"/>
    </row>
    <row r="54" customFormat="false" ht="16.15" hidden="false" customHeight="false" outlineLevel="0" collapsed="false">
      <c r="A54" s="18"/>
      <c r="B54" s="19"/>
      <c r="C54" s="19"/>
      <c r="D54" s="19"/>
      <c r="E54" s="20"/>
      <c r="F54" s="21" t="str">
        <f aca="true">IF(B54="","",IF(OR(A54="☑",A54=TRUE()),"Done",IF(E54="","Open",IF(E54&lt;TODAY(),"Overdue",IF(E54=TODAY(),"Due Today","Open")))))</f>
        <v/>
      </c>
      <c r="G54" s="19"/>
    </row>
    <row r="55" customFormat="false" ht="16.15" hidden="false" customHeight="false" outlineLevel="0" collapsed="false">
      <c r="A55" s="14"/>
      <c r="B55" s="15"/>
      <c r="C55" s="15"/>
      <c r="D55" s="15"/>
      <c r="E55" s="16"/>
      <c r="F55" s="17" t="str">
        <f aca="true">IF(B55="","",IF(OR(A55="☑",A55=TRUE()),"Done",IF(E55="","Open",IF(E55&lt;TODAY(),"Overdue",IF(E55=TODAY(),"Due Today","Open")))))</f>
        <v/>
      </c>
      <c r="G55" s="15"/>
    </row>
    <row r="56" customFormat="false" ht="16.15" hidden="false" customHeight="false" outlineLevel="0" collapsed="false">
      <c r="A56" s="18"/>
      <c r="B56" s="19"/>
      <c r="C56" s="19"/>
      <c r="D56" s="19"/>
      <c r="E56" s="20"/>
      <c r="F56" s="21" t="str">
        <f aca="true">IF(B56="","",IF(OR(A56="☑",A56=TRUE()),"Done",IF(E56="","Open",IF(E56&lt;TODAY(),"Overdue",IF(E56=TODAY(),"Due Today","Open")))))</f>
        <v/>
      </c>
      <c r="G56" s="19"/>
    </row>
    <row r="57" customFormat="false" ht="16.15" hidden="false" customHeight="false" outlineLevel="0" collapsed="false">
      <c r="A57" s="14"/>
      <c r="B57" s="15"/>
      <c r="C57" s="15"/>
      <c r="D57" s="15"/>
      <c r="E57" s="16"/>
      <c r="F57" s="17" t="str">
        <f aca="true">IF(B57="","",IF(OR(A57="☑",A57=TRUE()),"Done",IF(E57="","Open",IF(E57&lt;TODAY(),"Overdue",IF(E57=TODAY(),"Due Today","Open")))))</f>
        <v/>
      </c>
      <c r="G57" s="15"/>
    </row>
    <row r="58" customFormat="false" ht="16.15" hidden="false" customHeight="false" outlineLevel="0" collapsed="false">
      <c r="A58" s="18"/>
      <c r="B58" s="19"/>
      <c r="C58" s="19"/>
      <c r="D58" s="19"/>
      <c r="E58" s="20"/>
      <c r="F58" s="21" t="str">
        <f aca="true">IF(B58="","",IF(OR(A58="☑",A58=TRUE()),"Done",IF(E58="","Open",IF(E58&lt;TODAY(),"Overdue",IF(E58=TODAY(),"Due Today","Open")))))</f>
        <v/>
      </c>
      <c r="G58" s="19"/>
    </row>
  </sheetData>
  <mergeCells count="2">
    <mergeCell ref="E5:G5"/>
    <mergeCell ref="C6:G6"/>
  </mergeCells>
  <conditionalFormatting sqref="C6:G6">
    <cfRule type="dataBar" priority="2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{4C8A5271-CF3D-4B15-99A0-F64C95A0E143}</x14:id>
        </ext>
      </extLst>
    </cfRule>
  </conditionalFormatting>
  <conditionalFormatting sqref="A9:G58">
    <cfRule type="expression" priority="3" aboveAverage="0" equalAverage="0" bottom="0" percent="0" rank="0" text="" dxfId="0">
      <formula>OR($A9="☑",$A9=1)</formula>
    </cfRule>
  </conditionalFormatting>
  <conditionalFormatting sqref="F9:F58">
    <cfRule type="cellIs" priority="4" operator="equal" aboveAverage="0" equalAverage="0" bottom="0" percent="0" rank="0" text="" dxfId="1">
      <formula>"Overdue"</formula>
    </cfRule>
    <cfRule type="cellIs" priority="5" operator="equal" aboveAverage="0" equalAverage="0" bottom="0" percent="0" rank="0" text="" dxfId="2">
      <formula>"Due Today"</formula>
    </cfRule>
  </conditionalFormatting>
  <conditionalFormatting sqref="D9:D58">
    <cfRule type="cellIs" priority="6" operator="equal" aboveAverage="0" equalAverage="0" bottom="0" percent="0" rank="0" text="" dxfId="3">
      <formula>"High"</formula>
    </cfRule>
  </conditionalFormatting>
  <conditionalFormatting sqref="L31:L37">
    <cfRule type="dataBar" priority="7">
      <dataBar showValue="1" minLength="10" maxLength="90">
        <cfvo type="num" val="0"/>
        <cfvo type="num" val="1"/>
        <color rgb="FFE31B6D"/>
      </dataBar>
      <extLst>
        <ext xmlns:x14="http://schemas.microsoft.com/office/spreadsheetml/2009/9/main" uri="{B025F937-C7B1-47D3-B67F-A62EFF666E3E}">
          <x14:id>{22381562-9A6C-4057-B77E-FF44F8622719}</x14:id>
        </ext>
      </extLst>
    </cfRule>
  </conditionalFormatting>
  <dataValidations count="3">
    <dataValidation allowBlank="true" errorStyle="stop" operator="between" showDropDown="false" showErrorMessage="false" showInputMessage="false" sqref="A9:A58" type="list">
      <formula1>"☐,☑"</formula1>
      <formula2>0</formula2>
    </dataValidation>
    <dataValidation allowBlank="true" errorStyle="stop" operator="between" showDropDown="false" showErrorMessage="false" showInputMessage="false" sqref="C9:C58" type="list">
      <formula1>"Daily,Month-End,Reconciliation,Reporting,Follow-Up,Admin,Personal Development"</formula1>
      <formula2>0</formula2>
    </dataValidation>
    <dataValidation allowBlank="true" errorStyle="stop" operator="between" showDropDown="false" showErrorMessage="false" showInputMessage="false" sqref="D9:D5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8A5271-CF3D-4B15-99A0-F64C95A0E14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C6:G6</xm:sqref>
        </x14:conditionalFormatting>
        <x14:conditionalFormatting xmlns:xm="http://schemas.microsoft.com/office/excel/2006/main">
          <x14:cfRule type="dataBar" id="{22381562-9A6C-4057-B77E-FF44F862271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1B6D"/>
              <x14:axisColor rgb="FF000000"/>
            </x14:dataBar>
          </x14:cfRule>
          <xm:sqref>L31:L37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2026-09-30T02:43:12Z</dcterms:created>
  <dc:creator>openpyxl</dc:creator>
  <dc:description/>
  <dc:language>en-US</dc:language>
  <cp:lastModifiedBy/>
  <dcterms:modified xsi:type="dcterms:W3CDTF">2026-09-30T02:43:12Z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